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INSTRUCCIONES" sheetId="1" state="visible" r:id="rId1"/>
    <sheet name="PARTIDOS" sheetId="2" state="visible" r:id="rId2"/>
    <sheet name="PRONÓSTICOS" sheetId="3" state="visible" r:id="rId3"/>
    <sheet name="JUGADOR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yyyy\-mm\-dd\ hh:mm"/>
    <numFmt numFmtId="165" formatCode="yyyy-mm-dd h:mm:ss"/>
    <numFmt numFmtId="166" formatCode="DD/MM/YYYY HH:MM"/>
  </numFmts>
  <fonts count="5">
    <font>
      <name val="Calibri"/>
      <family val="2"/>
      <color theme="1"/>
      <sz val="11"/>
      <scheme val="minor"/>
    </font>
    <font>
      <name val="Segoe UI"/>
      <b val="1"/>
      <color rgb="FF1B5E20"/>
      <sz val="16"/>
    </font>
    <font>
      <name val="Segoe UI"/>
      <b val="1"/>
      <sz val="11"/>
    </font>
    <font>
      <name val="Segoe UI"/>
      <sz val="11"/>
    </font>
    <font>
      <name val="Segoe U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6" fontId="0" fillId="0" borderId="0" pivotButton="0" quotePrefix="0" xfId="0"/>
  </cellXfs>
  <cellStyles count="1">
    <cellStyle name="Normal" xfId="0" builtinId="0"/>
  </cellStyles>
  <dxfs count="5"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E0E0E0"/>
          <bgColor rgb="FFE0E0E0"/>
        </patternFill>
      </fill>
    </dxf>
    <dxf>
      <fill>
        <patternFill patternType="solid">
          <fgColor rgb="FFC8E6C9"/>
          <bgColor rgb="FF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1" sqref="A1"/>
    </sheetView>
  </sheetViews>
  <sheetFormatPr baseColWidth="8" defaultRowHeight="15"/>
  <cols>
    <col width="29.99609375" customWidth="1" min="1" max="1"/>
    <col width="80.0390625" customWidth="1" min="2" max="2"/>
  </cols>
  <sheetData>
    <row r="1" ht="30" customHeight="1">
      <c r="A1" s="1" t="inlineStr">
        <is>
          <t>PRODE MUNDIAL DE FÚTBOL 2026 - REGLAMENTO</t>
        </is>
      </c>
    </row>
    <row r="3" ht="20.1" customHeight="1">
      <c r="A3" s="2" t="n"/>
      <c r="B3" s="3" t="n"/>
    </row>
    <row r="4" ht="20.1" customHeight="1">
      <c r="A4" s="2" t="inlineStr">
        <is>
          <t>SISTEMA DE PUNTUACIÓN</t>
        </is>
      </c>
    </row>
    <row r="5" ht="20.1" customHeight="1">
      <c r="A5" s="2" t="inlineStr">
        <is>
          <t>Resultado Exacto (3 Puntos)</t>
        </is>
      </c>
      <c r="B5" s="3" t="inlineStr">
        <is>
          <t>Si aciertas el marcador exacto del partido. Ej: Pronóstico: 2-1 | Real: 2-1</t>
        </is>
      </c>
    </row>
    <row r="6" ht="20.1" customHeight="1">
      <c r="A6" s="2" t="inlineStr">
        <is>
          <t>Resultado Parcial (1 Punto)</t>
        </is>
      </c>
      <c r="B6" s="3" t="inlineStr">
        <is>
          <t>Si aciertas el ganador o empate, pero no el marcador. Ej: Pronóstico: 3-0 | Real: 1-0</t>
        </is>
      </c>
    </row>
    <row r="7" ht="20.1" customHeight="1">
      <c r="A7" s="2" t="inlineStr">
        <is>
          <t>Sin Puntos (0 Puntos)</t>
        </is>
      </c>
      <c r="B7" s="3" t="inlineStr">
        <is>
          <t>Si no aciertas el resultado (triunfo local, empate o visitante).</t>
        </is>
      </c>
    </row>
    <row r="8" ht="20.1" customHeight="1">
      <c r="A8" s="2" t="n"/>
      <c r="B8" s="3" t="n"/>
    </row>
    <row r="9" ht="20.1" customHeight="1">
      <c r="A9" s="2" t="inlineStr">
        <is>
          <t>REGLAS DE CIERRE</t>
        </is>
      </c>
    </row>
    <row r="10" ht="20.1" customHeight="1">
      <c r="A10" s="2" t="inlineStr">
        <is>
          <t>Bloqueo Automático</t>
        </is>
      </c>
      <c r="B10" s="3" t="inlineStr">
        <is>
          <t>Los pronósticos se pueden cargar/editar hasta 1 minuto antes del inicio de cada partido.</t>
        </is>
      </c>
    </row>
    <row r="11" ht="20.1" customHeight="1">
      <c r="A11" s="2" t="inlineStr">
        <is>
          <t>Cierre de Planilla</t>
        </is>
      </c>
      <c r="B11" s="3" t="inlineStr">
        <is>
          <t>Una vez comenzado el partido, el Estado cambia a 'Cerrado' y los puntos se calcularán automáticamente cuando el administrador ingrese el resultado real.</t>
        </is>
      </c>
    </row>
    <row r="12" ht="20.1" customHeight="1">
      <c r="A12" s="2" t="n"/>
      <c r="B12" s="3" t="n"/>
    </row>
    <row r="13" ht="20.1" customHeight="1">
      <c r="A13" s="2" t="inlineStr">
        <is>
          <t>CRITERIOS DE DESEMPATE</t>
        </is>
      </c>
    </row>
    <row r="14" ht="20.1" customHeight="1">
      <c r="A14" s="2" t="inlineStr">
        <is>
          <t>1. Mayor cantidad de aciertos de 3 puntos (Marcadores exactos).</t>
        </is>
      </c>
    </row>
    <row r="15" ht="20.1" customHeight="1">
      <c r="A15" s="2" t="inlineStr">
        <is>
          <t>2. Más goles totales acertados en toda la fase de grupos.</t>
        </is>
      </c>
    </row>
    <row r="16" ht="20.1" customHeight="1">
      <c r="A16" s="2" t="inlineStr">
        <is>
          <t>3. Partido desempate elegido al inicio del torneo.</t>
        </is>
      </c>
    </row>
    <row r="17" ht="20.1" customHeight="1">
      <c r="A17" s="2" t="n"/>
      <c r="B17" s="3" t="n"/>
    </row>
    <row r="18" ht="20.1" customHeight="1">
      <c r="A18" s="2" t="inlineStr">
        <is>
          <t>ÉTICA Y TRANSPARENCIA</t>
        </is>
      </c>
    </row>
    <row r="19" ht="20.1" customHeight="1">
      <c r="A19" s="2" t="inlineStr">
        <is>
          <t>Modificaciones</t>
        </is>
      </c>
      <c r="B19" s="3" t="inlineStr">
        <is>
          <t>Nadie puede modificar la planilla después del horario límite. El administrador solo cargará los resultados reales.</t>
        </is>
      </c>
    </row>
    <row r="20" ht="20.1" customHeight="1">
      <c r="A20" s="2" t="inlineStr">
        <is>
          <t>Jugadores Habilitados</t>
        </is>
      </c>
      <c r="B20" s="3" t="inlineStr">
        <is>
          <t>Esta planilla está configurada para recibir múltiples participantes. Solo debes duplicar o expandir las filas de la pestaña 'PRONÓSTICOS'.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min="1" max="1"/>
    <col width="23" customWidth="1" min="2" max="2"/>
    <col width="18.96484375" customWidth="1" min="3" max="3"/>
    <col width="20.04296875" customWidth="1" min="4" max="4"/>
    <col width="11.97265625" customWidth="1" min="5" max="5"/>
    <col width="20.04296875" customWidth="1" min="6" max="6"/>
    <col width="23.9453125" customWidth="1" min="7" max="7"/>
    <col width="18.0234375" customWidth="1" min="8" max="8"/>
    <col width="13.98828125" customWidth="1" min="9" max="9"/>
  </cols>
  <sheetData>
    <row r="1" ht="26.1" customHeight="1">
      <c r="A1" s="4" t="inlineStr">
        <is>
          <t>ID</t>
        </is>
      </c>
      <c r="B1" s="4" t="inlineStr">
        <is>
          <t>Fecha/Hora CL</t>
        </is>
      </c>
      <c r="C1" s="4" t="inlineStr">
        <is>
          <t>Equipo Local</t>
        </is>
      </c>
      <c r="D1" s="4" t="inlineStr">
        <is>
          <t>Equipo Visitante</t>
        </is>
      </c>
      <c r="E1" s="4" t="inlineStr">
        <is>
          <t>Grupo</t>
        </is>
      </c>
      <c r="F1" s="4" t="inlineStr">
        <is>
          <t>Goles Local Real</t>
        </is>
      </c>
      <c r="G1" s="4" t="inlineStr">
        <is>
          <t>Goles Visitante Real</t>
        </is>
      </c>
      <c r="H1" s="4" t="inlineStr">
        <is>
          <t>Resultado Real</t>
        </is>
      </c>
      <c r="I1" s="4" t="inlineStr">
        <is>
          <t>Estado</t>
        </is>
      </c>
    </row>
    <row r="2" ht="20.1" customHeight="1">
      <c r="A2" t="inlineStr">
        <is>
          <t>M01</t>
        </is>
      </c>
      <c r="B2" s="15" t="n">
        <v>46184.625</v>
      </c>
      <c r="C2" t="inlineStr">
        <is>
          <t>México</t>
        </is>
      </c>
      <c r="D2" t="inlineStr">
        <is>
          <t>Sudáfrica</t>
        </is>
      </c>
      <c r="E2" t="inlineStr">
        <is>
          <t>Grupo A</t>
        </is>
      </c>
      <c r="F2" t="n">
        <v>2</v>
      </c>
      <c r="G2" t="n">
        <v>0</v>
      </c>
      <c r="H2" t="inlineStr">
        <is>
          <t>2-0</t>
        </is>
      </c>
      <c r="I2" t="inlineStr">
        <is>
          <t>Cerrado</t>
        </is>
      </c>
    </row>
    <row r="3" ht="20.1" customHeight="1">
      <c r="A3" t="inlineStr">
        <is>
          <t>M02</t>
        </is>
      </c>
      <c r="B3" s="15" t="n">
        <v>46184.91666666666</v>
      </c>
      <c r="C3" t="inlineStr">
        <is>
          <t>Corea del Sur</t>
        </is>
      </c>
      <c r="D3" t="inlineStr">
        <is>
          <t>República Checa</t>
        </is>
      </c>
      <c r="E3" t="inlineStr">
        <is>
          <t>Grupo A</t>
        </is>
      </c>
      <c r="F3" t="n">
        <v>2</v>
      </c>
      <c r="G3" t="n">
        <v>1</v>
      </c>
      <c r="H3" t="inlineStr">
        <is>
          <t>2-1</t>
        </is>
      </c>
      <c r="I3" t="inlineStr">
        <is>
          <t>Cerrado</t>
        </is>
      </c>
    </row>
    <row r="4" ht="20.1" customHeight="1">
      <c r="A4" t="inlineStr">
        <is>
          <t>M03</t>
        </is>
      </c>
      <c r="B4" s="15" t="n">
        <v>46185.625</v>
      </c>
      <c r="C4" t="inlineStr">
        <is>
          <t>Canadá</t>
        </is>
      </c>
      <c r="D4" t="inlineStr">
        <is>
          <t>Bosnia y Herzegovina</t>
        </is>
      </c>
      <c r="E4" t="inlineStr">
        <is>
          <t>Grupo B</t>
        </is>
      </c>
      <c r="I4" t="inlineStr">
        <is>
          <t>Abierto</t>
        </is>
      </c>
    </row>
    <row r="5" ht="20.1" customHeight="1">
      <c r="A5" t="inlineStr">
        <is>
          <t>M04</t>
        </is>
      </c>
      <c r="B5" s="15" t="n">
        <v>46185.875</v>
      </c>
      <c r="C5" t="inlineStr">
        <is>
          <t>EEUU</t>
        </is>
      </c>
      <c r="D5" t="inlineStr">
        <is>
          <t>Paraguay</t>
        </is>
      </c>
      <c r="E5" t="inlineStr">
        <is>
          <t>Grupo D</t>
        </is>
      </c>
      <c r="I5" t="inlineStr">
        <is>
          <t>Abierto</t>
        </is>
      </c>
    </row>
    <row r="6" ht="20.1" customHeight="1">
      <c r="A6" t="inlineStr">
        <is>
          <t>M05</t>
        </is>
      </c>
      <c r="B6" s="15" t="n">
        <v>46186.625</v>
      </c>
      <c r="C6" t="inlineStr">
        <is>
          <t>Catar</t>
        </is>
      </c>
      <c r="D6" t="inlineStr">
        <is>
          <t>Suiza</t>
        </is>
      </c>
      <c r="E6" t="inlineStr">
        <is>
          <t>Grupo B</t>
        </is>
      </c>
      <c r="I6" t="inlineStr">
        <is>
          <t>Abierto</t>
        </is>
      </c>
    </row>
    <row r="7" ht="20.1" customHeight="1">
      <c r="A7" t="inlineStr">
        <is>
          <t>M06</t>
        </is>
      </c>
      <c r="B7" s="15" t="n">
        <v>46186.75</v>
      </c>
      <c r="C7" t="inlineStr">
        <is>
          <t>Brasil</t>
        </is>
      </c>
      <c r="D7" t="inlineStr">
        <is>
          <t>Marruecos</t>
        </is>
      </c>
      <c r="E7" t="inlineStr">
        <is>
          <t>Grupo C</t>
        </is>
      </c>
      <c r="I7" t="inlineStr">
        <is>
          <t>Abierto</t>
        </is>
      </c>
    </row>
    <row r="8" ht="20.1" customHeight="1">
      <c r="A8" t="inlineStr">
        <is>
          <t>M07</t>
        </is>
      </c>
      <c r="B8" s="15" t="n">
        <v>46186.875</v>
      </c>
      <c r="C8" t="inlineStr">
        <is>
          <t>Haití</t>
        </is>
      </c>
      <c r="D8" t="inlineStr">
        <is>
          <t>Escocia</t>
        </is>
      </c>
      <c r="E8" t="inlineStr">
        <is>
          <t>Grupo C</t>
        </is>
      </c>
      <c r="I8" t="inlineStr">
        <is>
          <t>Abierto</t>
        </is>
      </c>
    </row>
    <row r="9" ht="20.1" customHeight="1">
      <c r="A9" t="inlineStr">
        <is>
          <t>M08</t>
        </is>
      </c>
      <c r="B9" s="15" t="n">
        <v>46187</v>
      </c>
      <c r="C9" t="inlineStr">
        <is>
          <t>Australia</t>
        </is>
      </c>
      <c r="D9" t="inlineStr">
        <is>
          <t>Turquía</t>
        </is>
      </c>
      <c r="E9" t="inlineStr">
        <is>
          <t>Grupo D</t>
        </is>
      </c>
      <c r="I9" t="inlineStr">
        <is>
          <t>Abierto</t>
        </is>
      </c>
    </row>
    <row r="10" ht="20.1" customHeight="1">
      <c r="A10" t="inlineStr">
        <is>
          <t>M09</t>
        </is>
      </c>
      <c r="B10" s="15" t="n">
        <v>46187.54166666666</v>
      </c>
      <c r="C10" t="inlineStr">
        <is>
          <t>Alemania</t>
        </is>
      </c>
      <c r="D10" t="inlineStr">
        <is>
          <t>Curazao</t>
        </is>
      </c>
      <c r="E10" t="inlineStr">
        <is>
          <t>Grupo E</t>
        </is>
      </c>
      <c r="I10" t="inlineStr">
        <is>
          <t>Abierto</t>
        </is>
      </c>
    </row>
    <row r="11" ht="20.1" customHeight="1">
      <c r="A11" t="inlineStr">
        <is>
          <t>M10</t>
        </is>
      </c>
      <c r="B11" s="15" t="n">
        <v>46187.66666666666</v>
      </c>
      <c r="C11" t="inlineStr">
        <is>
          <t>Países Bajos</t>
        </is>
      </c>
      <c r="D11" t="inlineStr">
        <is>
          <t>Japón</t>
        </is>
      </c>
      <c r="E11" t="inlineStr">
        <is>
          <t>Grupo F</t>
        </is>
      </c>
      <c r="I11" t="inlineStr">
        <is>
          <t>Abierto</t>
        </is>
      </c>
    </row>
    <row r="12" ht="20.1" customHeight="1">
      <c r="A12" t="inlineStr">
        <is>
          <t>M11</t>
        </is>
      </c>
      <c r="B12" s="15" t="n">
        <v>46187.79166666666</v>
      </c>
      <c r="C12" t="inlineStr">
        <is>
          <t>Costa de Marfil</t>
        </is>
      </c>
      <c r="D12" t="inlineStr">
        <is>
          <t>Ecuador</t>
        </is>
      </c>
      <c r="E12" t="inlineStr">
        <is>
          <t>Grupo E</t>
        </is>
      </c>
      <c r="I12" t="inlineStr">
        <is>
          <t>Abierto</t>
        </is>
      </c>
    </row>
    <row r="13" ht="20.1" customHeight="1">
      <c r="A13" t="inlineStr">
        <is>
          <t>M12</t>
        </is>
      </c>
      <c r="B13" s="15" t="n">
        <v>46187.91666666666</v>
      </c>
      <c r="C13" t="inlineStr">
        <is>
          <t>Suecia</t>
        </is>
      </c>
      <c r="D13" t="inlineStr">
        <is>
          <t>Túnez</t>
        </is>
      </c>
      <c r="E13" t="inlineStr">
        <is>
          <t>Grupo F</t>
        </is>
      </c>
      <c r="I13" t="inlineStr">
        <is>
          <t>Abierto</t>
        </is>
      </c>
    </row>
    <row r="14" ht="20.1" customHeight="1">
      <c r="A14" t="inlineStr">
        <is>
          <t>M13</t>
        </is>
      </c>
      <c r="B14" s="15" t="n">
        <v>46188.5</v>
      </c>
      <c r="C14" t="inlineStr">
        <is>
          <t>España</t>
        </is>
      </c>
      <c r="D14" t="inlineStr">
        <is>
          <t>Cabo Verde</t>
        </is>
      </c>
      <c r="E14" t="inlineStr">
        <is>
          <t>Grupo H</t>
        </is>
      </c>
      <c r="I14" t="inlineStr">
        <is>
          <t>Abierto</t>
        </is>
      </c>
    </row>
    <row r="15" ht="20.1" customHeight="1">
      <c r="A15" t="inlineStr">
        <is>
          <t>M14</t>
        </is>
      </c>
      <c r="B15" s="15" t="n">
        <v>46188.625</v>
      </c>
      <c r="C15" t="inlineStr">
        <is>
          <t>Bélgica</t>
        </is>
      </c>
      <c r="D15" t="inlineStr">
        <is>
          <t>Egipto</t>
        </is>
      </c>
      <c r="E15" t="inlineStr">
        <is>
          <t>Grupo G</t>
        </is>
      </c>
      <c r="I15" t="inlineStr">
        <is>
          <t>Abierto</t>
        </is>
      </c>
    </row>
    <row r="16" ht="20.1" customHeight="1">
      <c r="A16" t="inlineStr">
        <is>
          <t>M15</t>
        </is>
      </c>
      <c r="B16" s="15" t="n">
        <v>46188.75</v>
      </c>
      <c r="C16" t="inlineStr">
        <is>
          <t>Arabia Saudita</t>
        </is>
      </c>
      <c r="D16" t="inlineStr">
        <is>
          <t>Uruguay</t>
        </is>
      </c>
      <c r="E16" t="inlineStr">
        <is>
          <t>Grupo H</t>
        </is>
      </c>
      <c r="I16" t="inlineStr">
        <is>
          <t>Abierto</t>
        </is>
      </c>
    </row>
    <row r="17" ht="20.1" customHeight="1">
      <c r="A17" t="inlineStr">
        <is>
          <t>M16</t>
        </is>
      </c>
      <c r="B17" s="15" t="n">
        <v>46188.875</v>
      </c>
      <c r="C17" t="inlineStr">
        <is>
          <t>Irán</t>
        </is>
      </c>
      <c r="D17" t="inlineStr">
        <is>
          <t>Nueva Zelanda</t>
        </is>
      </c>
      <c r="E17" t="inlineStr">
        <is>
          <t>Grupo G</t>
        </is>
      </c>
      <c r="I17" t="inlineStr">
        <is>
          <t>Abierto</t>
        </is>
      </c>
    </row>
    <row r="18" ht="20.1" customHeight="1">
      <c r="A18" t="inlineStr">
        <is>
          <t>M17</t>
        </is>
      </c>
      <c r="B18" s="15" t="n">
        <v>46189.625</v>
      </c>
      <c r="C18" t="inlineStr">
        <is>
          <t>Francia</t>
        </is>
      </c>
      <c r="D18" t="inlineStr">
        <is>
          <t>Senegal</t>
        </is>
      </c>
      <c r="E18" t="inlineStr">
        <is>
          <t>Grupo I</t>
        </is>
      </c>
      <c r="I18" t="inlineStr">
        <is>
          <t>Abierto</t>
        </is>
      </c>
    </row>
    <row r="19" ht="20.1" customHeight="1">
      <c r="A19" t="inlineStr">
        <is>
          <t>M18</t>
        </is>
      </c>
      <c r="B19" s="15" t="n">
        <v>46189.75</v>
      </c>
      <c r="C19" t="inlineStr">
        <is>
          <t>Irak</t>
        </is>
      </c>
      <c r="D19" t="inlineStr">
        <is>
          <t>Noruega</t>
        </is>
      </c>
      <c r="E19" t="inlineStr">
        <is>
          <t>Grupo I</t>
        </is>
      </c>
      <c r="I19" t="inlineStr">
        <is>
          <t>Abierto</t>
        </is>
      </c>
    </row>
    <row r="20" ht="20.1" customHeight="1">
      <c r="A20" t="inlineStr">
        <is>
          <t>M19</t>
        </is>
      </c>
      <c r="B20" s="15" t="n">
        <v>46189.875</v>
      </c>
      <c r="C20" t="inlineStr">
        <is>
          <t>Argentina</t>
        </is>
      </c>
      <c r="D20" t="inlineStr">
        <is>
          <t>Argelia</t>
        </is>
      </c>
      <c r="E20" t="inlineStr">
        <is>
          <t>Grupo J</t>
        </is>
      </c>
      <c r="I20" t="inlineStr">
        <is>
          <t>Abierto</t>
        </is>
      </c>
    </row>
    <row r="21" ht="20.1" customHeight="1">
      <c r="A21" t="inlineStr">
        <is>
          <t>M20</t>
        </is>
      </c>
      <c r="B21" s="15" t="n">
        <v>46190</v>
      </c>
      <c r="C21" t="inlineStr">
        <is>
          <t>Austria</t>
        </is>
      </c>
      <c r="D21" t="inlineStr">
        <is>
          <t>Jordania</t>
        </is>
      </c>
      <c r="E21" t="inlineStr">
        <is>
          <t>Grupo J</t>
        </is>
      </c>
      <c r="I21" t="inlineStr">
        <is>
          <t>Abierto</t>
        </is>
      </c>
    </row>
    <row r="22" ht="20.1" customHeight="1">
      <c r="A22" t="inlineStr">
        <is>
          <t>M21</t>
        </is>
      </c>
      <c r="B22" s="15" t="n">
        <v>46190.54166666666</v>
      </c>
      <c r="C22" t="inlineStr">
        <is>
          <t>Portugal</t>
        </is>
      </c>
      <c r="D22" t="inlineStr">
        <is>
          <t>RD Congo</t>
        </is>
      </c>
      <c r="E22" t="inlineStr">
        <is>
          <t>Grupo K</t>
        </is>
      </c>
      <c r="I22" t="inlineStr">
        <is>
          <t>Abierto</t>
        </is>
      </c>
    </row>
    <row r="23" ht="20.1" customHeight="1">
      <c r="A23" t="inlineStr">
        <is>
          <t>M22</t>
        </is>
      </c>
      <c r="B23" s="15" t="n">
        <v>46190.79166666666</v>
      </c>
      <c r="C23" t="inlineStr">
        <is>
          <t>Ghana</t>
        </is>
      </c>
      <c r="D23" t="inlineStr">
        <is>
          <t>Panamá</t>
        </is>
      </c>
      <c r="E23" t="inlineStr">
        <is>
          <t>Grupo L</t>
        </is>
      </c>
      <c r="I23" t="inlineStr">
        <is>
          <t>Abierto</t>
        </is>
      </c>
    </row>
    <row r="24" ht="20.1" customHeight="1">
      <c r="A24" t="inlineStr">
        <is>
          <t>M23</t>
        </is>
      </c>
      <c r="B24" s="15" t="n">
        <v>46190.83333333334</v>
      </c>
      <c r="C24" t="inlineStr">
        <is>
          <t>Inglaterra</t>
        </is>
      </c>
      <c r="D24" t="inlineStr">
        <is>
          <t>Croacia</t>
        </is>
      </c>
      <c r="E24" t="inlineStr">
        <is>
          <t>Grupo L</t>
        </is>
      </c>
      <c r="I24" t="inlineStr">
        <is>
          <t>Abierto</t>
        </is>
      </c>
    </row>
    <row r="25" ht="20.1" customHeight="1">
      <c r="A25" t="inlineStr">
        <is>
          <t>M24</t>
        </is>
      </c>
      <c r="B25" s="15" t="n">
        <v>46190.91666666666</v>
      </c>
      <c r="C25" t="inlineStr">
        <is>
          <t>Uzbekistán</t>
        </is>
      </c>
      <c r="D25" t="inlineStr">
        <is>
          <t>Colombia</t>
        </is>
      </c>
      <c r="E25" t="inlineStr">
        <is>
          <t>Grupo K</t>
        </is>
      </c>
      <c r="I25" t="inlineStr">
        <is>
          <t>Abierto</t>
        </is>
      </c>
    </row>
    <row r="26" ht="20.1" customHeight="1">
      <c r="A26" t="inlineStr">
        <is>
          <t>M25</t>
        </is>
      </c>
      <c r="B26" s="15" t="n">
        <v>46191.5</v>
      </c>
      <c r="C26" t="inlineStr">
        <is>
          <t>República Checa</t>
        </is>
      </c>
      <c r="D26" t="inlineStr">
        <is>
          <t>Sudáfrica</t>
        </is>
      </c>
      <c r="E26" t="inlineStr">
        <is>
          <t>Grupo A</t>
        </is>
      </c>
      <c r="I26" t="inlineStr">
        <is>
          <t>Abierto</t>
        </is>
      </c>
    </row>
    <row r="27" ht="20.1" customHeight="1">
      <c r="A27" t="inlineStr">
        <is>
          <t>M26</t>
        </is>
      </c>
      <c r="B27" s="15" t="n">
        <v>46191.625</v>
      </c>
      <c r="C27" t="inlineStr">
        <is>
          <t>Suiza</t>
        </is>
      </c>
      <c r="D27" t="inlineStr">
        <is>
          <t>Bosnia y Herzegovina</t>
        </is>
      </c>
      <c r="E27" t="inlineStr">
        <is>
          <t>Grupo B</t>
        </is>
      </c>
      <c r="I27" t="inlineStr">
        <is>
          <t>Abierto</t>
        </is>
      </c>
    </row>
    <row r="28" ht="20.1" customHeight="1">
      <c r="A28" t="inlineStr">
        <is>
          <t>M27</t>
        </is>
      </c>
      <c r="B28" s="15" t="n">
        <v>46191.75</v>
      </c>
      <c r="C28" t="inlineStr">
        <is>
          <t>Canadá</t>
        </is>
      </c>
      <c r="D28" t="inlineStr">
        <is>
          <t>Catar</t>
        </is>
      </c>
      <c r="E28" t="inlineStr">
        <is>
          <t>Grupo B</t>
        </is>
      </c>
      <c r="I28" t="inlineStr">
        <is>
          <t>Abierto</t>
        </is>
      </c>
    </row>
    <row r="29" ht="20.1" customHeight="1">
      <c r="A29" t="inlineStr">
        <is>
          <t>M28</t>
        </is>
      </c>
      <c r="B29" s="15" t="n">
        <v>46191.875</v>
      </c>
      <c r="C29" t="inlineStr">
        <is>
          <t>México</t>
        </is>
      </c>
      <c r="D29" t="inlineStr">
        <is>
          <t>Corea del Sur</t>
        </is>
      </c>
      <c r="E29" t="inlineStr">
        <is>
          <t>Grupo A</t>
        </is>
      </c>
      <c r="I29" t="inlineStr">
        <is>
          <t>Abierto</t>
        </is>
      </c>
    </row>
    <row r="30" ht="20.1" customHeight="1">
      <c r="A30" t="inlineStr">
        <is>
          <t>M29</t>
        </is>
      </c>
      <c r="B30" s="15" t="n">
        <v>46192.625</v>
      </c>
      <c r="C30" t="inlineStr">
        <is>
          <t>EEUU</t>
        </is>
      </c>
      <c r="D30" t="inlineStr">
        <is>
          <t>Australia</t>
        </is>
      </c>
      <c r="E30" t="inlineStr">
        <is>
          <t>Grupo D</t>
        </is>
      </c>
      <c r="I30" t="inlineStr">
        <is>
          <t>Abierto</t>
        </is>
      </c>
    </row>
    <row r="31" ht="20.1" customHeight="1">
      <c r="A31" t="inlineStr">
        <is>
          <t>M30</t>
        </is>
      </c>
      <c r="B31" s="15" t="n">
        <v>46192.75</v>
      </c>
      <c r="C31" t="inlineStr">
        <is>
          <t>Escocia</t>
        </is>
      </c>
      <c r="D31" t="inlineStr">
        <is>
          <t>Marruecos</t>
        </is>
      </c>
      <c r="E31" t="inlineStr">
        <is>
          <t>Grupo C</t>
        </is>
      </c>
      <c r="I31" t="inlineStr">
        <is>
          <t>Abierto</t>
        </is>
      </c>
    </row>
    <row r="32" ht="20.1" customHeight="1">
      <c r="A32" t="inlineStr">
        <is>
          <t>M31</t>
        </is>
      </c>
      <c r="B32" s="15" t="n">
        <v>46192.85416666666</v>
      </c>
      <c r="C32" t="inlineStr">
        <is>
          <t>Brasil</t>
        </is>
      </c>
      <c r="D32" t="inlineStr">
        <is>
          <t>Haití</t>
        </is>
      </c>
      <c r="E32" t="inlineStr">
        <is>
          <t>Grupo C</t>
        </is>
      </c>
      <c r="I32" t="inlineStr">
        <is>
          <t>Abierto</t>
        </is>
      </c>
    </row>
    <row r="33" ht="20.1" customHeight="1">
      <c r="A33" t="inlineStr">
        <is>
          <t>M32</t>
        </is>
      </c>
      <c r="B33" s="15" t="n">
        <v>46192.95833333334</v>
      </c>
      <c r="C33" t="inlineStr">
        <is>
          <t>Turquía</t>
        </is>
      </c>
      <c r="D33" t="inlineStr">
        <is>
          <t>Paraguay</t>
        </is>
      </c>
      <c r="E33" t="inlineStr">
        <is>
          <t>Grupo D</t>
        </is>
      </c>
      <c r="I33" t="inlineStr">
        <is>
          <t>Abierto</t>
        </is>
      </c>
    </row>
    <row r="34" ht="20.1" customHeight="1">
      <c r="A34" t="inlineStr">
        <is>
          <t>M33</t>
        </is>
      </c>
      <c r="B34" s="15" t="n">
        <v>46193.54166666666</v>
      </c>
      <c r="C34" t="inlineStr">
        <is>
          <t>Países Bajos</t>
        </is>
      </c>
      <c r="D34" t="inlineStr">
        <is>
          <t>Suecia</t>
        </is>
      </c>
      <c r="E34" t="inlineStr">
        <is>
          <t>Grupo F</t>
        </is>
      </c>
      <c r="I34" t="inlineStr">
        <is>
          <t>Abierto</t>
        </is>
      </c>
    </row>
    <row r="35" ht="20.1" customHeight="1">
      <c r="A35" t="inlineStr">
        <is>
          <t>M34</t>
        </is>
      </c>
      <c r="B35" s="15" t="n">
        <v>46193.66666666666</v>
      </c>
      <c r="C35" t="inlineStr">
        <is>
          <t>Alemania</t>
        </is>
      </c>
      <c r="D35" t="inlineStr">
        <is>
          <t>Costa de Marfil</t>
        </is>
      </c>
      <c r="E35" t="inlineStr">
        <is>
          <t>Grupo E</t>
        </is>
      </c>
      <c r="I35" t="inlineStr">
        <is>
          <t>Abierto</t>
        </is>
      </c>
    </row>
    <row r="36" ht="20.1" customHeight="1">
      <c r="A36" t="inlineStr">
        <is>
          <t>M35</t>
        </is>
      </c>
      <c r="B36" s="15" t="n">
        <v>46193.83333333334</v>
      </c>
      <c r="C36" t="inlineStr">
        <is>
          <t>Ecuador</t>
        </is>
      </c>
      <c r="D36" t="inlineStr">
        <is>
          <t>Curazao</t>
        </is>
      </c>
      <c r="E36" t="inlineStr">
        <is>
          <t>Grupo E</t>
        </is>
      </c>
      <c r="I36" t="inlineStr">
        <is>
          <t>Abierto</t>
        </is>
      </c>
    </row>
    <row r="37" ht="20.1" customHeight="1">
      <c r="A37" t="inlineStr">
        <is>
          <t>M36</t>
        </is>
      </c>
      <c r="B37" s="15" t="n">
        <v>46194</v>
      </c>
      <c r="C37" t="inlineStr">
        <is>
          <t>Túnez</t>
        </is>
      </c>
      <c r="D37" t="inlineStr">
        <is>
          <t>Japón</t>
        </is>
      </c>
      <c r="E37" t="inlineStr">
        <is>
          <t>Grupo F</t>
        </is>
      </c>
      <c r="I37" t="inlineStr">
        <is>
          <t>Abierto</t>
        </is>
      </c>
    </row>
    <row r="38" ht="20.1" customHeight="1">
      <c r="A38" t="inlineStr">
        <is>
          <t>M37</t>
        </is>
      </c>
      <c r="B38" s="15" t="n">
        <v>46194.5</v>
      </c>
      <c r="C38" t="inlineStr">
        <is>
          <t>España</t>
        </is>
      </c>
      <c r="D38" t="inlineStr">
        <is>
          <t>Arabia Saudita</t>
        </is>
      </c>
      <c r="E38" t="inlineStr">
        <is>
          <t>Grupo H</t>
        </is>
      </c>
      <c r="I38" t="inlineStr">
        <is>
          <t>Abierto</t>
        </is>
      </c>
    </row>
    <row r="39" ht="20.1" customHeight="1">
      <c r="A39" t="inlineStr">
        <is>
          <t>M38</t>
        </is>
      </c>
      <c r="B39" s="15" t="n">
        <v>46194.625</v>
      </c>
      <c r="C39" t="inlineStr">
        <is>
          <t>Bélgica</t>
        </is>
      </c>
      <c r="D39" t="inlineStr">
        <is>
          <t>Irán</t>
        </is>
      </c>
      <c r="E39" t="inlineStr">
        <is>
          <t>Grupo G</t>
        </is>
      </c>
      <c r="I39" t="inlineStr">
        <is>
          <t>Abierto</t>
        </is>
      </c>
    </row>
    <row r="40" ht="20.1" customHeight="1">
      <c r="A40" t="inlineStr">
        <is>
          <t>M39</t>
        </is>
      </c>
      <c r="B40" s="15" t="n">
        <v>46194.75</v>
      </c>
      <c r="C40" t="inlineStr">
        <is>
          <t>Uruguay</t>
        </is>
      </c>
      <c r="D40" t="inlineStr">
        <is>
          <t>Cabo Verde</t>
        </is>
      </c>
      <c r="E40" t="inlineStr">
        <is>
          <t>Grupo H</t>
        </is>
      </c>
      <c r="I40" t="inlineStr">
        <is>
          <t>Abierto</t>
        </is>
      </c>
    </row>
    <row r="41" ht="20.1" customHeight="1">
      <c r="A41" t="inlineStr">
        <is>
          <t>M40</t>
        </is>
      </c>
      <c r="B41" s="15" t="n">
        <v>46194.875</v>
      </c>
      <c r="C41" t="inlineStr">
        <is>
          <t>Nueva Zelanda</t>
        </is>
      </c>
      <c r="D41" t="inlineStr">
        <is>
          <t>Egipto</t>
        </is>
      </c>
      <c r="E41" t="inlineStr">
        <is>
          <t>Grupo G</t>
        </is>
      </c>
      <c r="I41" t="inlineStr">
        <is>
          <t>Abierto</t>
        </is>
      </c>
    </row>
    <row r="42" ht="20.1" customHeight="1">
      <c r="A42" t="inlineStr">
        <is>
          <t>M41</t>
        </is>
      </c>
      <c r="B42" s="15" t="n">
        <v>46195.54166666666</v>
      </c>
      <c r="C42" t="inlineStr">
        <is>
          <t>Argentina</t>
        </is>
      </c>
      <c r="D42" t="inlineStr">
        <is>
          <t>Austria</t>
        </is>
      </c>
      <c r="E42" t="inlineStr">
        <is>
          <t>Grupo J</t>
        </is>
      </c>
      <c r="I42" t="inlineStr">
        <is>
          <t>Abierto</t>
        </is>
      </c>
    </row>
    <row r="43" ht="20.1" customHeight="1">
      <c r="A43" t="inlineStr">
        <is>
          <t>M42</t>
        </is>
      </c>
      <c r="B43" s="15" t="n">
        <v>46195.70833333334</v>
      </c>
      <c r="C43" t="inlineStr">
        <is>
          <t>Francia</t>
        </is>
      </c>
      <c r="D43" t="inlineStr">
        <is>
          <t>Irak</t>
        </is>
      </c>
      <c r="E43" t="inlineStr">
        <is>
          <t>Grupo I</t>
        </is>
      </c>
      <c r="I43" t="inlineStr">
        <is>
          <t>Abierto</t>
        </is>
      </c>
    </row>
    <row r="44" ht="20.1" customHeight="1">
      <c r="A44" t="inlineStr">
        <is>
          <t>M43</t>
        </is>
      </c>
      <c r="B44" s="15" t="n">
        <v>46195.83333333334</v>
      </c>
      <c r="C44" t="inlineStr">
        <is>
          <t>Noruega</t>
        </is>
      </c>
      <c r="D44" t="inlineStr">
        <is>
          <t>Senegal</t>
        </is>
      </c>
      <c r="E44" t="inlineStr">
        <is>
          <t>Grupo I</t>
        </is>
      </c>
      <c r="I44" t="inlineStr">
        <is>
          <t>Abierto</t>
        </is>
      </c>
    </row>
    <row r="45" ht="20.1" customHeight="1">
      <c r="A45" t="inlineStr">
        <is>
          <t>M44</t>
        </is>
      </c>
      <c r="B45" s="15" t="n">
        <v>46195.95833333334</v>
      </c>
      <c r="C45" t="inlineStr">
        <is>
          <t>Jordania</t>
        </is>
      </c>
      <c r="D45" t="inlineStr">
        <is>
          <t>Argelia</t>
        </is>
      </c>
      <c r="E45" t="inlineStr">
        <is>
          <t>Grupo J</t>
        </is>
      </c>
      <c r="I45" t="inlineStr">
        <is>
          <t>Abierto</t>
        </is>
      </c>
    </row>
    <row r="46" ht="20.1" customHeight="1">
      <c r="A46" t="inlineStr">
        <is>
          <t>M45</t>
        </is>
      </c>
      <c r="B46" s="15" t="n">
        <v>46196.54166666666</v>
      </c>
      <c r="C46" t="inlineStr">
        <is>
          <t>Portugal</t>
        </is>
      </c>
      <c r="D46" t="inlineStr">
        <is>
          <t>Uzbekistán</t>
        </is>
      </c>
      <c r="E46" t="inlineStr">
        <is>
          <t>Grupo K</t>
        </is>
      </c>
      <c r="I46" t="inlineStr">
        <is>
          <t>Abierto</t>
        </is>
      </c>
    </row>
    <row r="47" ht="20.1" customHeight="1">
      <c r="A47" t="inlineStr">
        <is>
          <t>M46</t>
        </is>
      </c>
      <c r="B47" s="15" t="n">
        <v>46196.66666666666</v>
      </c>
      <c r="C47" t="inlineStr">
        <is>
          <t>Inglaterra</t>
        </is>
      </c>
      <c r="D47" t="inlineStr">
        <is>
          <t>Ghana</t>
        </is>
      </c>
      <c r="E47" t="inlineStr">
        <is>
          <t>Grupo L</t>
        </is>
      </c>
      <c r="I47" t="inlineStr">
        <is>
          <t>Abierto</t>
        </is>
      </c>
    </row>
    <row r="48" ht="20.1" customHeight="1">
      <c r="A48" t="inlineStr">
        <is>
          <t>M47</t>
        </is>
      </c>
      <c r="B48" s="15" t="n">
        <v>46196.79166666666</v>
      </c>
      <c r="C48" t="inlineStr">
        <is>
          <t>Panamá</t>
        </is>
      </c>
      <c r="D48" t="inlineStr">
        <is>
          <t>Croacia</t>
        </is>
      </c>
      <c r="E48" t="inlineStr">
        <is>
          <t>Grupo L</t>
        </is>
      </c>
      <c r="I48" t="inlineStr">
        <is>
          <t>Abierto</t>
        </is>
      </c>
    </row>
    <row r="49" ht="20.1" customHeight="1">
      <c r="A49" t="inlineStr">
        <is>
          <t>M48</t>
        </is>
      </c>
      <c r="B49" s="15" t="n">
        <v>46196.91666666666</v>
      </c>
      <c r="C49" t="inlineStr">
        <is>
          <t>Colombia</t>
        </is>
      </c>
      <c r="D49" t="inlineStr">
        <is>
          <t>RD Congo</t>
        </is>
      </c>
      <c r="E49" t="inlineStr">
        <is>
          <t>Grupo K</t>
        </is>
      </c>
      <c r="I49" t="inlineStr">
        <is>
          <t>Abierto</t>
        </is>
      </c>
    </row>
    <row r="50" ht="20.1" customHeight="1">
      <c r="A50" t="inlineStr">
        <is>
          <t>M49</t>
        </is>
      </c>
      <c r="B50" s="15" t="n">
        <v>46197.625</v>
      </c>
      <c r="C50" t="inlineStr">
        <is>
          <t>Suiza</t>
        </is>
      </c>
      <c r="D50" t="inlineStr">
        <is>
          <t>Canadá</t>
        </is>
      </c>
      <c r="E50" t="inlineStr">
        <is>
          <t>Grupo B</t>
        </is>
      </c>
      <c r="I50" t="inlineStr">
        <is>
          <t>Abierto</t>
        </is>
      </c>
    </row>
    <row r="51" ht="20.1" customHeight="1">
      <c r="A51" t="inlineStr">
        <is>
          <t>M50</t>
        </is>
      </c>
      <c r="B51" s="15" t="n">
        <v>46197.625</v>
      </c>
      <c r="C51" t="inlineStr">
        <is>
          <t>Bosnia y Herzegovina</t>
        </is>
      </c>
      <c r="D51" t="inlineStr">
        <is>
          <t>Catar</t>
        </is>
      </c>
      <c r="E51" t="inlineStr">
        <is>
          <t>Grupo B</t>
        </is>
      </c>
      <c r="I51" t="inlineStr">
        <is>
          <t>Abierto</t>
        </is>
      </c>
    </row>
    <row r="52" ht="20.1" customHeight="1">
      <c r="A52" t="inlineStr">
        <is>
          <t>M51</t>
        </is>
      </c>
      <c r="B52" s="15" t="n">
        <v>46197.75</v>
      </c>
      <c r="C52" t="inlineStr">
        <is>
          <t>Escocia</t>
        </is>
      </c>
      <c r="D52" t="inlineStr">
        <is>
          <t>Brasil</t>
        </is>
      </c>
      <c r="E52" t="inlineStr">
        <is>
          <t>Grupo C</t>
        </is>
      </c>
      <c r="I52" t="inlineStr">
        <is>
          <t>Abierto</t>
        </is>
      </c>
    </row>
    <row r="53" ht="20.1" customHeight="1">
      <c r="A53" t="inlineStr">
        <is>
          <t>M52</t>
        </is>
      </c>
      <c r="B53" s="15" t="n">
        <v>46197.75</v>
      </c>
      <c r="C53" t="inlineStr">
        <is>
          <t>Marruecos</t>
        </is>
      </c>
      <c r="D53" t="inlineStr">
        <is>
          <t>Haití</t>
        </is>
      </c>
      <c r="E53" t="inlineStr">
        <is>
          <t>Grupo C</t>
        </is>
      </c>
      <c r="I53" t="inlineStr">
        <is>
          <t>Abierto</t>
        </is>
      </c>
    </row>
    <row r="54" ht="20.1" customHeight="1">
      <c r="A54" t="inlineStr">
        <is>
          <t>M53</t>
        </is>
      </c>
      <c r="B54" s="15" t="n">
        <v>46197.875</v>
      </c>
      <c r="C54" t="inlineStr">
        <is>
          <t>República Checa</t>
        </is>
      </c>
      <c r="D54" t="inlineStr">
        <is>
          <t>México</t>
        </is>
      </c>
      <c r="E54" t="inlineStr">
        <is>
          <t>Grupo A</t>
        </is>
      </c>
      <c r="I54" t="inlineStr">
        <is>
          <t>Abierto</t>
        </is>
      </c>
    </row>
    <row r="55" ht="20.1" customHeight="1">
      <c r="A55" t="inlineStr">
        <is>
          <t>M54</t>
        </is>
      </c>
      <c r="B55" s="15" t="n">
        <v>46197.875</v>
      </c>
      <c r="C55" t="inlineStr">
        <is>
          <t>Sudáfrica</t>
        </is>
      </c>
      <c r="D55" t="inlineStr">
        <is>
          <t>Corea del Sur</t>
        </is>
      </c>
      <c r="E55" t="inlineStr">
        <is>
          <t>Grupo A</t>
        </is>
      </c>
      <c r="I55" t="inlineStr">
        <is>
          <t>Abierto</t>
        </is>
      </c>
    </row>
    <row r="56" ht="20.1" customHeight="1">
      <c r="A56" t="inlineStr">
        <is>
          <t>M55</t>
        </is>
      </c>
      <c r="B56" s="15" t="n">
        <v>46198.66666666666</v>
      </c>
      <c r="C56" t="inlineStr">
        <is>
          <t>Curazao</t>
        </is>
      </c>
      <c r="D56" t="inlineStr">
        <is>
          <t>Costa de Marfil</t>
        </is>
      </c>
      <c r="E56" t="inlineStr">
        <is>
          <t>Grupo E</t>
        </is>
      </c>
      <c r="I56" t="inlineStr">
        <is>
          <t>Abierto</t>
        </is>
      </c>
    </row>
    <row r="57" ht="20.1" customHeight="1">
      <c r="A57" t="inlineStr">
        <is>
          <t>M56</t>
        </is>
      </c>
      <c r="B57" s="15" t="n">
        <v>46198.66666666666</v>
      </c>
      <c r="C57" t="inlineStr">
        <is>
          <t>Ecuador</t>
        </is>
      </c>
      <c r="D57" t="inlineStr">
        <is>
          <t>Alemania</t>
        </is>
      </c>
      <c r="E57" t="inlineStr">
        <is>
          <t>Grupo E</t>
        </is>
      </c>
      <c r="I57" t="inlineStr">
        <is>
          <t>Abierto</t>
        </is>
      </c>
    </row>
    <row r="58" ht="20.1" customHeight="1">
      <c r="A58" t="inlineStr">
        <is>
          <t>M57</t>
        </is>
      </c>
      <c r="B58" s="15" t="n">
        <v>46198.79166666666</v>
      </c>
      <c r="C58" t="inlineStr">
        <is>
          <t>Japón</t>
        </is>
      </c>
      <c r="D58" t="inlineStr">
        <is>
          <t>Suecia</t>
        </is>
      </c>
      <c r="E58" t="inlineStr">
        <is>
          <t>Grupo F</t>
        </is>
      </c>
      <c r="I58" t="inlineStr">
        <is>
          <t>Abierto</t>
        </is>
      </c>
    </row>
    <row r="59" ht="20.1" customHeight="1">
      <c r="A59" t="inlineStr">
        <is>
          <t>M58</t>
        </is>
      </c>
      <c r="B59" s="15" t="n">
        <v>46198.79166666666</v>
      </c>
      <c r="C59" t="inlineStr">
        <is>
          <t>Túnez</t>
        </is>
      </c>
      <c r="D59" t="inlineStr">
        <is>
          <t>Países Bajos</t>
        </is>
      </c>
      <c r="E59" t="inlineStr">
        <is>
          <t>Grupo F</t>
        </is>
      </c>
      <c r="I59" t="inlineStr">
        <is>
          <t>Abierto</t>
        </is>
      </c>
    </row>
    <row r="60" ht="20.1" customHeight="1">
      <c r="A60" t="inlineStr">
        <is>
          <t>M59</t>
        </is>
      </c>
      <c r="B60" s="15" t="n">
        <v>46198.91666666666</v>
      </c>
      <c r="C60" t="inlineStr">
        <is>
          <t>Turquía</t>
        </is>
      </c>
      <c r="D60" t="inlineStr">
        <is>
          <t>EEUU</t>
        </is>
      </c>
      <c r="E60" t="inlineStr">
        <is>
          <t>Grupo D</t>
        </is>
      </c>
      <c r="I60" t="inlineStr">
        <is>
          <t>Abierto</t>
        </is>
      </c>
    </row>
    <row r="61" ht="20.1" customHeight="1">
      <c r="A61" t="inlineStr">
        <is>
          <t>M60</t>
        </is>
      </c>
      <c r="B61" s="15" t="n">
        <v>46198.91666666666</v>
      </c>
      <c r="C61" t="inlineStr">
        <is>
          <t>Paraguay</t>
        </is>
      </c>
      <c r="D61" t="inlineStr">
        <is>
          <t>Australia</t>
        </is>
      </c>
      <c r="E61" t="inlineStr">
        <is>
          <t>Grupo D</t>
        </is>
      </c>
      <c r="I61" t="inlineStr">
        <is>
          <t>Abierto</t>
        </is>
      </c>
    </row>
    <row r="62" ht="20.1" customHeight="1">
      <c r="A62" t="inlineStr">
        <is>
          <t>M61</t>
        </is>
      </c>
      <c r="B62" s="15" t="n">
        <v>46199.625</v>
      </c>
      <c r="C62" t="inlineStr">
        <is>
          <t>Noruega</t>
        </is>
      </c>
      <c r="D62" t="inlineStr">
        <is>
          <t>Francia</t>
        </is>
      </c>
      <c r="E62" t="inlineStr">
        <is>
          <t>Grupo I</t>
        </is>
      </c>
      <c r="I62" t="inlineStr">
        <is>
          <t>Abierto</t>
        </is>
      </c>
    </row>
    <row r="63" ht="20.1" customHeight="1">
      <c r="A63" t="inlineStr">
        <is>
          <t>M62</t>
        </is>
      </c>
      <c r="B63" s="15" t="n">
        <v>46199.625</v>
      </c>
      <c r="C63" t="inlineStr">
        <is>
          <t>Senegal</t>
        </is>
      </c>
      <c r="D63" t="inlineStr">
        <is>
          <t>Irak</t>
        </is>
      </c>
      <c r="E63" t="inlineStr">
        <is>
          <t>Grupo I</t>
        </is>
      </c>
      <c r="I63" t="inlineStr">
        <is>
          <t>Abierto</t>
        </is>
      </c>
    </row>
    <row r="64" ht="20.1" customHeight="1">
      <c r="A64" t="inlineStr">
        <is>
          <t>M63</t>
        </is>
      </c>
      <c r="B64" s="15" t="n">
        <v>46199.83333333334</v>
      </c>
      <c r="C64" t="inlineStr">
        <is>
          <t>Cabo Verde</t>
        </is>
      </c>
      <c r="D64" t="inlineStr">
        <is>
          <t>Arabia Saudita</t>
        </is>
      </c>
      <c r="E64" t="inlineStr">
        <is>
          <t>Grupo H</t>
        </is>
      </c>
      <c r="I64" t="inlineStr">
        <is>
          <t>Abierto</t>
        </is>
      </c>
    </row>
    <row r="65" ht="20.1" customHeight="1">
      <c r="A65" t="inlineStr">
        <is>
          <t>M64</t>
        </is>
      </c>
      <c r="B65" s="15" t="n">
        <v>46199.83333333334</v>
      </c>
      <c r="C65" t="inlineStr">
        <is>
          <t>Uruguay</t>
        </is>
      </c>
      <c r="D65" t="inlineStr">
        <is>
          <t>España</t>
        </is>
      </c>
      <c r="E65" t="inlineStr">
        <is>
          <t>Grupo H</t>
        </is>
      </c>
      <c r="I65" t="inlineStr">
        <is>
          <t>Abierto</t>
        </is>
      </c>
    </row>
    <row r="66" ht="20.1" customHeight="1">
      <c r="A66" t="inlineStr">
        <is>
          <t>M65</t>
        </is>
      </c>
      <c r="B66" s="15" t="n">
        <v>46199.95833333334</v>
      </c>
      <c r="C66" t="inlineStr">
        <is>
          <t>Egipto</t>
        </is>
      </c>
      <c r="D66" t="inlineStr">
        <is>
          <t>Irán</t>
        </is>
      </c>
      <c r="E66" t="inlineStr">
        <is>
          <t>Grupo G</t>
        </is>
      </c>
      <c r="I66" t="inlineStr">
        <is>
          <t>Abierto</t>
        </is>
      </c>
    </row>
    <row r="67" ht="20.1" customHeight="1">
      <c r="A67" t="inlineStr">
        <is>
          <t>M66</t>
        </is>
      </c>
      <c r="B67" s="15" t="n">
        <v>46199.95833333334</v>
      </c>
      <c r="C67" t="inlineStr">
        <is>
          <t>Nueva Zelanda</t>
        </is>
      </c>
      <c r="D67" t="inlineStr">
        <is>
          <t>Bélgica</t>
        </is>
      </c>
      <c r="E67" t="inlineStr">
        <is>
          <t>Grupo G</t>
        </is>
      </c>
      <c r="I67" t="inlineStr">
        <is>
          <t>Abierto</t>
        </is>
      </c>
    </row>
    <row r="68" ht="20.1" customHeight="1">
      <c r="A68" t="inlineStr">
        <is>
          <t>M67</t>
        </is>
      </c>
      <c r="B68" s="15" t="n">
        <v>46200.70833333334</v>
      </c>
      <c r="C68" t="inlineStr">
        <is>
          <t>Panamá</t>
        </is>
      </c>
      <c r="D68" t="inlineStr">
        <is>
          <t>Inglaterra</t>
        </is>
      </c>
      <c r="E68" t="inlineStr">
        <is>
          <t>Grupo L</t>
        </is>
      </c>
      <c r="I68" t="inlineStr">
        <is>
          <t>Abierto</t>
        </is>
      </c>
    </row>
    <row r="69" ht="20.1" customHeight="1">
      <c r="A69" t="inlineStr">
        <is>
          <t>M68</t>
        </is>
      </c>
      <c r="B69" s="15" t="n">
        <v>46200.70833333334</v>
      </c>
      <c r="C69" t="inlineStr">
        <is>
          <t>Croacia</t>
        </is>
      </c>
      <c r="D69" t="inlineStr">
        <is>
          <t>Ghana</t>
        </is>
      </c>
      <c r="E69" t="inlineStr">
        <is>
          <t>Grupo L</t>
        </is>
      </c>
      <c r="I69" t="inlineStr">
        <is>
          <t>Abierto</t>
        </is>
      </c>
    </row>
    <row r="70" ht="20.1" customHeight="1">
      <c r="A70" t="inlineStr">
        <is>
          <t>M69</t>
        </is>
      </c>
      <c r="B70" s="15" t="n">
        <v>46200.8125</v>
      </c>
      <c r="C70" t="inlineStr">
        <is>
          <t>Colombia</t>
        </is>
      </c>
      <c r="D70" t="inlineStr">
        <is>
          <t>Portugal</t>
        </is>
      </c>
      <c r="E70" t="inlineStr">
        <is>
          <t>Grupo K</t>
        </is>
      </c>
      <c r="I70" t="inlineStr">
        <is>
          <t>Abierto</t>
        </is>
      </c>
    </row>
    <row r="71" ht="20.1" customHeight="1">
      <c r="A71" t="inlineStr">
        <is>
          <t>M70</t>
        </is>
      </c>
      <c r="B71" s="15" t="n">
        <v>46200.8125</v>
      </c>
      <c r="C71" t="inlineStr">
        <is>
          <t>RD Congo</t>
        </is>
      </c>
      <c r="D71" t="inlineStr">
        <is>
          <t>Uzbekistán</t>
        </is>
      </c>
      <c r="E71" t="inlineStr">
        <is>
          <t>Grupo K</t>
        </is>
      </c>
      <c r="I71" t="inlineStr">
        <is>
          <t>Abierto</t>
        </is>
      </c>
    </row>
    <row r="72" ht="20.1" customHeight="1">
      <c r="A72" t="inlineStr">
        <is>
          <t>M71</t>
        </is>
      </c>
      <c r="B72" s="15" t="n">
        <v>46200.91666666666</v>
      </c>
      <c r="C72" t="inlineStr">
        <is>
          <t>Argelia</t>
        </is>
      </c>
      <c r="D72" t="inlineStr">
        <is>
          <t>Austria</t>
        </is>
      </c>
      <c r="E72" t="inlineStr">
        <is>
          <t>Grupo J</t>
        </is>
      </c>
      <c r="I72" t="inlineStr">
        <is>
          <t>Abierto</t>
        </is>
      </c>
    </row>
    <row r="73" ht="20.1" customHeight="1">
      <c r="A73" t="inlineStr">
        <is>
          <t>M72</t>
        </is>
      </c>
      <c r="B73" s="15" t="n">
        <v>46200.91666666666</v>
      </c>
      <c r="C73" t="inlineStr">
        <is>
          <t>Jordania</t>
        </is>
      </c>
      <c r="D73" t="inlineStr">
        <is>
          <t>Argentina</t>
        </is>
      </c>
      <c r="E73" t="inlineStr">
        <is>
          <t>Grupo J</t>
        </is>
      </c>
      <c r="I73" t="inlineStr">
        <is>
          <t>Abierto</t>
        </is>
      </c>
    </row>
  </sheetData>
  <conditionalFormatting sqref="I2:I73">
    <cfRule type="cellIs" priority="1" operator="equal" dxfId="2">
      <formula>"Abierto"</formula>
    </cfRule>
    <cfRule type="cellIs" priority="2" operator="equal" dxfId="3">
      <formula>"Cerrado"</formula>
    </cfRule>
  </conditionalFormatting>
  <dataValidations count="1">
    <dataValidation sqref="E2:F1441 F2:G73" showDropDown="0" showInputMessage="0" showErrorMessage="0" allowBlank="1" errorTitle="Entrada inválida" error="El valor debe ser un número entero entre 0 y 15." promptTitle="Goles" prompt="Introduce un valor entre 0 y 15" type="whole">
      <formula1>0</formula1>
      <formula2>15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0234375" customWidth="1" min="1" max="1"/>
    <col width="13.98828125" customWidth="1" min="2" max="2"/>
    <col width="18.96484375" customWidth="1" min="3" max="3"/>
    <col width="20.04296875" customWidth="1" min="4" max="5"/>
    <col width="23.9453125" customWidth="1" min="6" max="6"/>
    <col width="20.04296875" customWidth="1" min="7" max="7"/>
    <col width="13.98828125" customWidth="1" min="8" max="8"/>
  </cols>
  <sheetData>
    <row r="1" ht="26.1" customHeight="1">
      <c r="A1" s="4" t="inlineStr">
        <is>
          <t>Nombre Jugador</t>
        </is>
      </c>
      <c r="B1" s="4" t="inlineStr">
        <is>
          <t>ID Partido</t>
        </is>
      </c>
      <c r="C1" s="4" t="inlineStr">
        <is>
          <t>Equipo Local</t>
        </is>
      </c>
      <c r="D1" s="4" t="inlineStr">
        <is>
          <t>Equipo Visitante</t>
        </is>
      </c>
      <c r="E1" s="4" t="inlineStr">
        <is>
          <t>Gol Local Pronós</t>
        </is>
      </c>
      <c r="F1" s="4" t="inlineStr">
        <is>
          <t>Gol Visitante Pronós</t>
        </is>
      </c>
      <c r="G1" s="4" t="inlineStr">
        <is>
          <t>Resultado Pronós</t>
        </is>
      </c>
      <c r="H1" s="4" t="inlineStr">
        <is>
          <t>Puntos</t>
        </is>
      </c>
    </row>
    <row r="2" ht="20.1" customHeight="1">
      <c r="A2" s="12" t="inlineStr">
        <is>
          <t>Jugador 1</t>
        </is>
      </c>
      <c r="B2" s="8" t="inlineStr">
        <is>
          <t>M01</t>
        </is>
      </c>
      <c r="C2" s="12" t="inlineStr">
        <is>
          <t>México</t>
        </is>
      </c>
      <c r="D2" s="12" t="inlineStr">
        <is>
          <t>EEUU</t>
        </is>
      </c>
      <c r="E2" s="8" t="n"/>
      <c r="F2" s="8" t="n"/>
      <c r="G2" s="8">
        <f>IF(OR(ISBLANK(E2),ISBLANK(F2)),"",IF(E2&gt;F2,"Local",IF(E2=F2,"Empate","Visitante")))</f>
        <v/>
      </c>
      <c r="H2" s="8">
        <f>IF(VLOOKUP(B2,PARTIDOS!$A:$I,9,FALSE)="Cerrado",IF(G2=VLOOKUP(B2,PARTIDOS!$A:$I,8,FALSE),IF(AND(E2=VLOOKUP(B2,PARTIDOS!$A:$I,6,FALSE),F2=VLOOKUP(B2,PARTIDOS!$A:$I,7,FALSE)),3,1),0),"")</f>
        <v/>
      </c>
    </row>
    <row r="3" ht="20.1" customHeight="1">
      <c r="A3" s="12" t="inlineStr">
        <is>
          <t>Jugador 1</t>
        </is>
      </c>
      <c r="B3" s="8" t="inlineStr">
        <is>
          <t>M02</t>
        </is>
      </c>
      <c r="C3" s="12" t="inlineStr">
        <is>
          <t>Canadá</t>
        </is>
      </c>
      <c r="D3" s="12" t="inlineStr">
        <is>
          <t>Jamaica</t>
        </is>
      </c>
      <c r="E3" s="8" t="n"/>
      <c r="F3" s="8" t="n"/>
      <c r="G3" s="8">
        <f>IF(OR(ISBLANK(E3),ISBLANK(F3)),"",IF(E3&gt;F3,"Local",IF(E3=F3,"Empate","Visitante")))</f>
        <v/>
      </c>
      <c r="H3" s="8">
        <f>IF(VLOOKUP(B3,PARTIDOS!$A:$I,9,FALSE)="Cerrado",IF(G3=VLOOKUP(B3,PARTIDOS!$A:$I,8,FALSE),IF(AND(E3=VLOOKUP(B3,PARTIDOS!$A:$I,6,FALSE),F3=VLOOKUP(B3,PARTIDOS!$A:$I,7,FALSE)),3,1),0),"")</f>
        <v/>
      </c>
    </row>
    <row r="4" ht="20.1" customHeight="1">
      <c r="A4" s="12" t="inlineStr">
        <is>
          <t>Jugador 1</t>
        </is>
      </c>
      <c r="B4" s="8" t="inlineStr">
        <is>
          <t>M03</t>
        </is>
      </c>
      <c r="C4" s="12" t="inlineStr">
        <is>
          <t>México</t>
        </is>
      </c>
      <c r="D4" s="12" t="inlineStr">
        <is>
          <t>Canadá</t>
        </is>
      </c>
      <c r="E4" s="8" t="n"/>
      <c r="F4" s="8" t="n"/>
      <c r="G4" s="8">
        <f>IF(OR(ISBLANK(E4),ISBLANK(F4)),"",IF(E4&gt;F4,"Local",IF(E4=F4,"Empate","Visitante")))</f>
        <v/>
      </c>
      <c r="H4" s="8">
        <f>IF(VLOOKUP(B4,PARTIDOS!$A:$I,9,FALSE)="Cerrado",IF(G4=VLOOKUP(B4,PARTIDOS!$A:$I,8,FALSE),IF(AND(E4=VLOOKUP(B4,PARTIDOS!$A:$I,6,FALSE),F4=VLOOKUP(B4,PARTIDOS!$A:$I,7,FALSE)),3,1),0),"")</f>
        <v/>
      </c>
    </row>
    <row r="5" ht="20.1" customHeight="1">
      <c r="A5" s="12" t="inlineStr">
        <is>
          <t>Jugador 1</t>
        </is>
      </c>
      <c r="B5" s="8" t="inlineStr">
        <is>
          <t>M04</t>
        </is>
      </c>
      <c r="C5" s="12" t="inlineStr">
        <is>
          <t>EEUU</t>
        </is>
      </c>
      <c r="D5" s="12" t="inlineStr">
        <is>
          <t>Jamaica</t>
        </is>
      </c>
      <c r="E5" s="8" t="n"/>
      <c r="F5" s="8" t="n"/>
      <c r="G5" s="8">
        <f>IF(OR(ISBLANK(E5),ISBLANK(F5)),"",IF(E5&gt;F5,"Local",IF(E5=F5,"Empate","Visitante")))</f>
        <v/>
      </c>
      <c r="H5" s="8">
        <f>IF(VLOOKUP(B5,PARTIDOS!$A:$I,9,FALSE)="Cerrado",IF(G5=VLOOKUP(B5,PARTIDOS!$A:$I,8,FALSE),IF(AND(E5=VLOOKUP(B5,PARTIDOS!$A:$I,6,FALSE),F5=VLOOKUP(B5,PARTIDOS!$A:$I,7,FALSE)),3,1),0),"")</f>
        <v/>
      </c>
    </row>
    <row r="6" ht="20.1" customHeight="1">
      <c r="A6" s="12" t="inlineStr">
        <is>
          <t>Jugador 1</t>
        </is>
      </c>
      <c r="B6" s="8" t="inlineStr">
        <is>
          <t>M05</t>
        </is>
      </c>
      <c r="C6" s="12" t="inlineStr">
        <is>
          <t>México</t>
        </is>
      </c>
      <c r="D6" s="12" t="inlineStr">
        <is>
          <t>Jamaica</t>
        </is>
      </c>
      <c r="E6" s="8" t="n"/>
      <c r="F6" s="8" t="n"/>
      <c r="G6" s="8">
        <f>IF(OR(ISBLANK(E6),ISBLANK(F6)),"",IF(E6&gt;F6,"Local",IF(E6=F6,"Empate","Visitante")))</f>
        <v/>
      </c>
      <c r="H6" s="8">
        <f>IF(VLOOKUP(B6,PARTIDOS!$A:$I,9,FALSE)="Cerrado",IF(G6=VLOOKUP(B6,PARTIDOS!$A:$I,8,FALSE),IF(AND(E6=VLOOKUP(B6,PARTIDOS!$A:$I,6,FALSE),F6=VLOOKUP(B6,PARTIDOS!$A:$I,7,FALSE)),3,1),0),"")</f>
        <v/>
      </c>
    </row>
    <row r="7" ht="20.1" customHeight="1">
      <c r="A7" s="12" t="inlineStr">
        <is>
          <t>Jugador 1</t>
        </is>
      </c>
      <c r="B7" s="8" t="inlineStr">
        <is>
          <t>M06</t>
        </is>
      </c>
      <c r="C7" s="12" t="inlineStr">
        <is>
          <t>EEUU</t>
        </is>
      </c>
      <c r="D7" s="12" t="inlineStr">
        <is>
          <t>Canadá</t>
        </is>
      </c>
      <c r="E7" s="8" t="n"/>
      <c r="F7" s="8" t="n"/>
      <c r="G7" s="8">
        <f>IF(OR(ISBLANK(E7),ISBLANK(F7)),"",IF(E7&gt;F7,"Local",IF(E7=F7,"Empate","Visitante")))</f>
        <v/>
      </c>
      <c r="H7" s="8">
        <f>IF(VLOOKUP(B7,PARTIDOS!$A:$I,9,FALSE)="Cerrado",IF(G7=VLOOKUP(B7,PARTIDOS!$A:$I,8,FALSE),IF(AND(E7=VLOOKUP(B7,PARTIDOS!$A:$I,6,FALSE),F7=VLOOKUP(B7,PARTIDOS!$A:$I,7,FALSE)),3,1),0),"")</f>
        <v/>
      </c>
    </row>
    <row r="8" ht="20.1" customHeight="1">
      <c r="A8" s="12" t="inlineStr">
        <is>
          <t>Jugador 1</t>
        </is>
      </c>
      <c r="B8" s="8" t="inlineStr">
        <is>
          <t>M07</t>
        </is>
      </c>
      <c r="C8" s="12" t="inlineStr">
        <is>
          <t>Argentina</t>
        </is>
      </c>
      <c r="D8" s="12" t="inlineStr">
        <is>
          <t>Brasil</t>
        </is>
      </c>
      <c r="E8" s="8" t="n"/>
      <c r="F8" s="8" t="n"/>
      <c r="G8" s="8">
        <f>IF(OR(ISBLANK(E8),ISBLANK(F8)),"",IF(E8&gt;F8,"Local",IF(E8=F8,"Empate","Visitante")))</f>
        <v/>
      </c>
      <c r="H8" s="8">
        <f>IF(VLOOKUP(B8,PARTIDOS!$A:$I,9,FALSE)="Cerrado",IF(G8=VLOOKUP(B8,PARTIDOS!$A:$I,8,FALSE),IF(AND(E8=VLOOKUP(B8,PARTIDOS!$A:$I,6,FALSE),F8=VLOOKUP(B8,PARTIDOS!$A:$I,7,FALSE)),3,1),0),"")</f>
        <v/>
      </c>
    </row>
    <row r="9" ht="20.1" customHeight="1">
      <c r="A9" s="12" t="inlineStr">
        <is>
          <t>Jugador 1</t>
        </is>
      </c>
      <c r="B9" s="8" t="inlineStr">
        <is>
          <t>M08</t>
        </is>
      </c>
      <c r="C9" s="12" t="inlineStr">
        <is>
          <t>Colombia</t>
        </is>
      </c>
      <c r="D9" s="12" t="inlineStr">
        <is>
          <t>Uruguay</t>
        </is>
      </c>
      <c r="E9" s="8" t="n"/>
      <c r="F9" s="8" t="n"/>
      <c r="G9" s="8">
        <f>IF(OR(ISBLANK(E9),ISBLANK(F9)),"",IF(E9&gt;F9,"Local",IF(E9=F9,"Empate","Visitante")))</f>
        <v/>
      </c>
      <c r="H9" s="8">
        <f>IF(VLOOKUP(B9,PARTIDOS!$A:$I,9,FALSE)="Cerrado",IF(G9=VLOOKUP(B9,PARTIDOS!$A:$I,8,FALSE),IF(AND(E9=VLOOKUP(B9,PARTIDOS!$A:$I,6,FALSE),F9=VLOOKUP(B9,PARTIDOS!$A:$I,7,FALSE)),3,1),0),"")</f>
        <v/>
      </c>
    </row>
    <row r="10" ht="20.1" customHeight="1">
      <c r="A10" s="12" t="inlineStr">
        <is>
          <t>Jugador 1</t>
        </is>
      </c>
      <c r="B10" s="8" t="inlineStr">
        <is>
          <t>M09</t>
        </is>
      </c>
      <c r="C10" s="12" t="inlineStr">
        <is>
          <t>Argentina</t>
        </is>
      </c>
      <c r="D10" s="12" t="inlineStr">
        <is>
          <t>Colombia</t>
        </is>
      </c>
      <c r="E10" s="8" t="n"/>
      <c r="F10" s="8" t="n"/>
      <c r="G10" s="8">
        <f>IF(OR(ISBLANK(E10),ISBLANK(F10)),"",IF(E10&gt;F10,"Local",IF(E10=F10,"Empate","Visitante")))</f>
        <v/>
      </c>
      <c r="H10" s="8">
        <f>IF(VLOOKUP(B10,PARTIDOS!$A:$I,9,FALSE)="Cerrado",IF(G10=VLOOKUP(B10,PARTIDOS!$A:$I,8,FALSE),IF(AND(E10=VLOOKUP(B10,PARTIDOS!$A:$I,6,FALSE),F10=VLOOKUP(B10,PARTIDOS!$A:$I,7,FALSE)),3,1),0),"")</f>
        <v/>
      </c>
    </row>
    <row r="11" ht="20.1" customHeight="1">
      <c r="A11" s="12" t="inlineStr">
        <is>
          <t>Jugador 1</t>
        </is>
      </c>
      <c r="B11" s="8" t="inlineStr">
        <is>
          <t>M10</t>
        </is>
      </c>
      <c r="C11" s="12" t="inlineStr">
        <is>
          <t>Brasil</t>
        </is>
      </c>
      <c r="D11" s="12" t="inlineStr">
        <is>
          <t>Uruguay</t>
        </is>
      </c>
      <c r="E11" s="8" t="n"/>
      <c r="F11" s="8" t="n"/>
      <c r="G11" s="8">
        <f>IF(OR(ISBLANK(E11),ISBLANK(F11)),"",IF(E11&gt;F11,"Local",IF(E11=F11,"Empate","Visitante")))</f>
        <v/>
      </c>
      <c r="H11" s="8">
        <f>IF(VLOOKUP(B11,PARTIDOS!$A:$I,9,FALSE)="Cerrado",IF(G11=VLOOKUP(B11,PARTIDOS!$A:$I,8,FALSE),IF(AND(E11=VLOOKUP(B11,PARTIDOS!$A:$I,6,FALSE),F11=VLOOKUP(B11,PARTIDOS!$A:$I,7,FALSE)),3,1),0),"")</f>
        <v/>
      </c>
    </row>
    <row r="12" ht="20.1" customHeight="1">
      <c r="A12" s="12" t="inlineStr">
        <is>
          <t>Jugador 1</t>
        </is>
      </c>
      <c r="B12" s="8" t="inlineStr">
        <is>
          <t>M11</t>
        </is>
      </c>
      <c r="C12" s="12" t="inlineStr">
        <is>
          <t>Argentina</t>
        </is>
      </c>
      <c r="D12" s="12" t="inlineStr">
        <is>
          <t>Uruguay</t>
        </is>
      </c>
      <c r="E12" s="8" t="n"/>
      <c r="F12" s="8" t="n"/>
      <c r="G12" s="8">
        <f>IF(OR(ISBLANK(E12),ISBLANK(F12)),"",IF(E12&gt;F12,"Local",IF(E12=F12,"Empate","Visitante")))</f>
        <v/>
      </c>
      <c r="H12" s="8">
        <f>IF(VLOOKUP(B12,PARTIDOS!$A:$I,9,FALSE)="Cerrado",IF(G12=VLOOKUP(B12,PARTIDOS!$A:$I,8,FALSE),IF(AND(E12=VLOOKUP(B12,PARTIDOS!$A:$I,6,FALSE),F12=VLOOKUP(B12,PARTIDOS!$A:$I,7,FALSE)),3,1),0),"")</f>
        <v/>
      </c>
    </row>
    <row r="13" ht="20.1" customHeight="1">
      <c r="A13" s="12" t="inlineStr">
        <is>
          <t>Jugador 1</t>
        </is>
      </c>
      <c r="B13" s="8" t="inlineStr">
        <is>
          <t>M12</t>
        </is>
      </c>
      <c r="C13" s="12" t="inlineStr">
        <is>
          <t>Brasil</t>
        </is>
      </c>
      <c r="D13" s="12" t="inlineStr">
        <is>
          <t>Colombia</t>
        </is>
      </c>
      <c r="E13" s="8" t="n"/>
      <c r="F13" s="8" t="n"/>
      <c r="G13" s="8">
        <f>IF(OR(ISBLANK(E13),ISBLANK(F13)),"",IF(E13&gt;F13,"Local",IF(E13=F13,"Empate","Visitante")))</f>
        <v/>
      </c>
      <c r="H13" s="8">
        <f>IF(VLOOKUP(B13,PARTIDOS!$A:$I,9,FALSE)="Cerrado",IF(G13=VLOOKUP(B13,PARTIDOS!$A:$I,8,FALSE),IF(AND(E13=VLOOKUP(B13,PARTIDOS!$A:$I,6,FALSE),F13=VLOOKUP(B13,PARTIDOS!$A:$I,7,FALSE)),3,1),0),"")</f>
        <v/>
      </c>
    </row>
    <row r="14" ht="20.1" customHeight="1">
      <c r="A14" s="12" t="inlineStr">
        <is>
          <t>Jugador 1</t>
        </is>
      </c>
      <c r="B14" s="8" t="inlineStr">
        <is>
          <t>M13</t>
        </is>
      </c>
      <c r="C14" s="12" t="inlineStr">
        <is>
          <t>Ecuador</t>
        </is>
      </c>
      <c r="D14" s="12" t="inlineStr">
        <is>
          <t>Perú</t>
        </is>
      </c>
      <c r="E14" s="8" t="n"/>
      <c r="F14" s="8" t="n"/>
      <c r="G14" s="8">
        <f>IF(OR(ISBLANK(E14),ISBLANK(F14)),"",IF(E14&gt;F14,"Local",IF(E14=F14,"Empate","Visitante")))</f>
        <v/>
      </c>
      <c r="H14" s="8">
        <f>IF(VLOOKUP(B14,PARTIDOS!$A:$I,9,FALSE)="Cerrado",IF(G14=VLOOKUP(B14,PARTIDOS!$A:$I,8,FALSE),IF(AND(E14=VLOOKUP(B14,PARTIDOS!$A:$I,6,FALSE),F14=VLOOKUP(B14,PARTIDOS!$A:$I,7,FALSE)),3,1),0),"")</f>
        <v/>
      </c>
    </row>
    <row r="15" ht="20.1" customHeight="1">
      <c r="A15" s="12" t="inlineStr">
        <is>
          <t>Jugador 1</t>
        </is>
      </c>
      <c r="B15" s="8" t="inlineStr">
        <is>
          <t>M14</t>
        </is>
      </c>
      <c r="C15" s="12" t="inlineStr">
        <is>
          <t>Chile</t>
        </is>
      </c>
      <c r="D15" s="12" t="inlineStr">
        <is>
          <t>Paraguay</t>
        </is>
      </c>
      <c r="E15" s="8" t="n"/>
      <c r="F15" s="8" t="n"/>
      <c r="G15" s="8">
        <f>IF(OR(ISBLANK(E15),ISBLANK(F15)),"",IF(E15&gt;F15,"Local",IF(E15=F15,"Empate","Visitante")))</f>
        <v/>
      </c>
      <c r="H15" s="8">
        <f>IF(VLOOKUP(B15,PARTIDOS!$A:$I,9,FALSE)="Cerrado",IF(G15=VLOOKUP(B15,PARTIDOS!$A:$I,8,FALSE),IF(AND(E15=VLOOKUP(B15,PARTIDOS!$A:$I,6,FALSE),F15=VLOOKUP(B15,PARTIDOS!$A:$I,7,FALSE)),3,1),0),"")</f>
        <v/>
      </c>
    </row>
    <row r="16" ht="20.1" customHeight="1">
      <c r="A16" s="12" t="inlineStr">
        <is>
          <t>Jugador 1</t>
        </is>
      </c>
      <c r="B16" s="8" t="inlineStr">
        <is>
          <t>M15</t>
        </is>
      </c>
      <c r="C16" s="12" t="inlineStr">
        <is>
          <t>Ecuador</t>
        </is>
      </c>
      <c r="D16" s="12" t="inlineStr">
        <is>
          <t>Chile</t>
        </is>
      </c>
      <c r="E16" s="8" t="n"/>
      <c r="F16" s="8" t="n"/>
      <c r="G16" s="8">
        <f>IF(OR(ISBLANK(E16),ISBLANK(F16)),"",IF(E16&gt;F16,"Local",IF(E16=F16,"Empate","Visitante")))</f>
        <v/>
      </c>
      <c r="H16" s="8">
        <f>IF(VLOOKUP(B16,PARTIDOS!$A:$I,9,FALSE)="Cerrado",IF(G16=VLOOKUP(B16,PARTIDOS!$A:$I,8,FALSE),IF(AND(E16=VLOOKUP(B16,PARTIDOS!$A:$I,6,FALSE),F16=VLOOKUP(B16,PARTIDOS!$A:$I,7,FALSE)),3,1),0),"")</f>
        <v/>
      </c>
    </row>
    <row r="17" ht="20.1" customHeight="1">
      <c r="A17" s="12" t="inlineStr">
        <is>
          <t>Jugador 1</t>
        </is>
      </c>
      <c r="B17" s="8" t="inlineStr">
        <is>
          <t>M16</t>
        </is>
      </c>
      <c r="C17" s="12" t="inlineStr">
        <is>
          <t>Perú</t>
        </is>
      </c>
      <c r="D17" s="12" t="inlineStr">
        <is>
          <t>Paraguay</t>
        </is>
      </c>
      <c r="E17" s="8" t="n"/>
      <c r="F17" s="8" t="n"/>
      <c r="G17" s="8">
        <f>IF(OR(ISBLANK(E17),ISBLANK(F17)),"",IF(E17&gt;F17,"Local",IF(E17=F17,"Empate","Visitante")))</f>
        <v/>
      </c>
      <c r="H17" s="8">
        <f>IF(VLOOKUP(B17,PARTIDOS!$A:$I,9,FALSE)="Cerrado",IF(G17=VLOOKUP(B17,PARTIDOS!$A:$I,8,FALSE),IF(AND(E17=VLOOKUP(B17,PARTIDOS!$A:$I,6,FALSE),F17=VLOOKUP(B17,PARTIDOS!$A:$I,7,FALSE)),3,1),0),"")</f>
        <v/>
      </c>
    </row>
    <row r="18" ht="20.1" customHeight="1">
      <c r="A18" s="12" t="inlineStr">
        <is>
          <t>Jugador 1</t>
        </is>
      </c>
      <c r="B18" s="8" t="inlineStr">
        <is>
          <t>M17</t>
        </is>
      </c>
      <c r="C18" s="12" t="inlineStr">
        <is>
          <t>Ecuador</t>
        </is>
      </c>
      <c r="D18" s="12" t="inlineStr">
        <is>
          <t>Paraguay</t>
        </is>
      </c>
      <c r="E18" s="8" t="n"/>
      <c r="F18" s="8" t="n"/>
      <c r="G18" s="8">
        <f>IF(OR(ISBLANK(E18),ISBLANK(F18)),"",IF(E18&gt;F18,"Local",IF(E18=F18,"Empate","Visitante")))</f>
        <v/>
      </c>
      <c r="H18" s="8">
        <f>IF(VLOOKUP(B18,PARTIDOS!$A:$I,9,FALSE)="Cerrado",IF(G18=VLOOKUP(B18,PARTIDOS!$A:$I,8,FALSE),IF(AND(E18=VLOOKUP(B18,PARTIDOS!$A:$I,6,FALSE),F18=VLOOKUP(B18,PARTIDOS!$A:$I,7,FALSE)),3,1),0),"")</f>
        <v/>
      </c>
    </row>
    <row r="19" ht="20.1" customHeight="1">
      <c r="A19" s="12" t="inlineStr">
        <is>
          <t>Jugador 1</t>
        </is>
      </c>
      <c r="B19" s="8" t="inlineStr">
        <is>
          <t>M18</t>
        </is>
      </c>
      <c r="C19" s="12" t="inlineStr">
        <is>
          <t>Perú</t>
        </is>
      </c>
      <c r="D19" s="12" t="inlineStr">
        <is>
          <t>Chile</t>
        </is>
      </c>
      <c r="E19" s="8" t="n"/>
      <c r="F19" s="8" t="n"/>
      <c r="G19" s="8">
        <f>IF(OR(ISBLANK(E19),ISBLANK(F19)),"",IF(E19&gt;F19,"Local",IF(E19=F19,"Empate","Visitante")))</f>
        <v/>
      </c>
      <c r="H19" s="8">
        <f>IF(VLOOKUP(B19,PARTIDOS!$A:$I,9,FALSE)="Cerrado",IF(G19=VLOOKUP(B19,PARTIDOS!$A:$I,8,FALSE),IF(AND(E19=VLOOKUP(B19,PARTIDOS!$A:$I,6,FALSE),F19=VLOOKUP(B19,PARTIDOS!$A:$I,7,FALSE)),3,1),0),"")</f>
        <v/>
      </c>
    </row>
    <row r="20" ht="20.1" customHeight="1">
      <c r="A20" s="12" t="inlineStr">
        <is>
          <t>Jugador 1</t>
        </is>
      </c>
      <c r="B20" s="8" t="inlineStr">
        <is>
          <t>M19</t>
        </is>
      </c>
      <c r="C20" s="12" t="inlineStr">
        <is>
          <t>España</t>
        </is>
      </c>
      <c r="D20" s="12" t="inlineStr">
        <is>
          <t>Francia</t>
        </is>
      </c>
      <c r="E20" s="8" t="n"/>
      <c r="F20" s="8" t="n"/>
      <c r="G20" s="8">
        <f>IF(OR(ISBLANK(E20),ISBLANK(F20)),"",IF(E20&gt;F20,"Local",IF(E20=F20,"Empate","Visitante")))</f>
        <v/>
      </c>
      <c r="H20" s="8">
        <f>IF(VLOOKUP(B20,PARTIDOS!$A:$I,9,FALSE)="Cerrado",IF(G20=VLOOKUP(B20,PARTIDOS!$A:$I,8,FALSE),IF(AND(E20=VLOOKUP(B20,PARTIDOS!$A:$I,6,FALSE),F20=VLOOKUP(B20,PARTIDOS!$A:$I,7,FALSE)),3,1),0),"")</f>
        <v/>
      </c>
    </row>
    <row r="21" ht="20.1" customHeight="1">
      <c r="A21" s="12" t="inlineStr">
        <is>
          <t>Jugador 1</t>
        </is>
      </c>
      <c r="B21" s="8" t="inlineStr">
        <is>
          <t>M20</t>
        </is>
      </c>
      <c r="C21" s="12" t="inlineStr">
        <is>
          <t>Inglaterra</t>
        </is>
      </c>
      <c r="D21" s="12" t="inlineStr">
        <is>
          <t>Alemania</t>
        </is>
      </c>
      <c r="E21" s="8" t="n"/>
      <c r="F21" s="8" t="n"/>
      <c r="G21" s="8">
        <f>IF(OR(ISBLANK(E21),ISBLANK(F21)),"",IF(E21&gt;F21,"Local",IF(E21=F21,"Empate","Visitante")))</f>
        <v/>
      </c>
      <c r="H21" s="8">
        <f>IF(VLOOKUP(B21,PARTIDOS!$A:$I,9,FALSE)="Cerrado",IF(G21=VLOOKUP(B21,PARTIDOS!$A:$I,8,FALSE),IF(AND(E21=VLOOKUP(B21,PARTIDOS!$A:$I,6,FALSE),F21=VLOOKUP(B21,PARTIDOS!$A:$I,7,FALSE)),3,1),0),"")</f>
        <v/>
      </c>
    </row>
    <row r="22" ht="20.1" customHeight="1">
      <c r="A22" s="12" t="inlineStr">
        <is>
          <t>Jugador 1</t>
        </is>
      </c>
      <c r="B22" s="8" t="inlineStr">
        <is>
          <t>M21</t>
        </is>
      </c>
      <c r="C22" s="12" t="inlineStr">
        <is>
          <t>España</t>
        </is>
      </c>
      <c r="D22" s="12" t="inlineStr">
        <is>
          <t>Inglaterra</t>
        </is>
      </c>
      <c r="E22" s="8" t="n"/>
      <c r="F22" s="8" t="n"/>
      <c r="G22" s="8">
        <f>IF(OR(ISBLANK(E22),ISBLANK(F22)),"",IF(E22&gt;F22,"Local",IF(E22=F22,"Empate","Visitante")))</f>
        <v/>
      </c>
      <c r="H22" s="8">
        <f>IF(VLOOKUP(B22,PARTIDOS!$A:$I,9,FALSE)="Cerrado",IF(G22=VLOOKUP(B22,PARTIDOS!$A:$I,8,FALSE),IF(AND(E22=VLOOKUP(B22,PARTIDOS!$A:$I,6,FALSE),F22=VLOOKUP(B22,PARTIDOS!$A:$I,7,FALSE)),3,1),0),"")</f>
        <v/>
      </c>
    </row>
    <row r="23" ht="20.1" customHeight="1">
      <c r="A23" s="12" t="inlineStr">
        <is>
          <t>Jugador 1</t>
        </is>
      </c>
      <c r="B23" s="8" t="inlineStr">
        <is>
          <t>M22</t>
        </is>
      </c>
      <c r="C23" s="12" t="inlineStr">
        <is>
          <t>Francia</t>
        </is>
      </c>
      <c r="D23" s="12" t="inlineStr">
        <is>
          <t>Alemania</t>
        </is>
      </c>
      <c r="E23" s="8" t="n"/>
      <c r="F23" s="8" t="n"/>
      <c r="G23" s="8">
        <f>IF(OR(ISBLANK(E23),ISBLANK(F23)),"",IF(E23&gt;F23,"Local",IF(E23=F23,"Empate","Visitante")))</f>
        <v/>
      </c>
      <c r="H23" s="8">
        <f>IF(VLOOKUP(B23,PARTIDOS!$A:$I,9,FALSE)="Cerrado",IF(G23=VLOOKUP(B23,PARTIDOS!$A:$I,8,FALSE),IF(AND(E23=VLOOKUP(B23,PARTIDOS!$A:$I,6,FALSE),F23=VLOOKUP(B23,PARTIDOS!$A:$I,7,FALSE)),3,1),0),"")</f>
        <v/>
      </c>
    </row>
    <row r="24" ht="20.1" customHeight="1">
      <c r="A24" s="12" t="inlineStr">
        <is>
          <t>Jugador 1</t>
        </is>
      </c>
      <c r="B24" s="8" t="inlineStr">
        <is>
          <t>M23</t>
        </is>
      </c>
      <c r="C24" s="12" t="inlineStr">
        <is>
          <t>España</t>
        </is>
      </c>
      <c r="D24" s="12" t="inlineStr">
        <is>
          <t>Alemania</t>
        </is>
      </c>
      <c r="E24" s="8" t="n"/>
      <c r="F24" s="8" t="n"/>
      <c r="G24" s="8">
        <f>IF(OR(ISBLANK(E24),ISBLANK(F24)),"",IF(E24&gt;F24,"Local",IF(E24=F24,"Empate","Visitante")))</f>
        <v/>
      </c>
      <c r="H24" s="8">
        <f>IF(VLOOKUP(B24,PARTIDOS!$A:$I,9,FALSE)="Cerrado",IF(G24=VLOOKUP(B24,PARTIDOS!$A:$I,8,FALSE),IF(AND(E24=VLOOKUP(B24,PARTIDOS!$A:$I,6,FALSE),F24=VLOOKUP(B24,PARTIDOS!$A:$I,7,FALSE)),3,1),0),"")</f>
        <v/>
      </c>
    </row>
    <row r="25" ht="20.1" customHeight="1">
      <c r="A25" s="12" t="inlineStr">
        <is>
          <t>Jugador 1</t>
        </is>
      </c>
      <c r="B25" s="8" t="inlineStr">
        <is>
          <t>M24</t>
        </is>
      </c>
      <c r="C25" s="12" t="inlineStr">
        <is>
          <t>Francia</t>
        </is>
      </c>
      <c r="D25" s="12" t="inlineStr">
        <is>
          <t>Inglaterra</t>
        </is>
      </c>
      <c r="E25" s="8" t="n"/>
      <c r="F25" s="8" t="n"/>
      <c r="G25" s="8">
        <f>IF(OR(ISBLANK(E25),ISBLANK(F25)),"",IF(E25&gt;F25,"Local",IF(E25=F25,"Empate","Visitante")))</f>
        <v/>
      </c>
      <c r="H25" s="8">
        <f>IF(VLOOKUP(B25,PARTIDOS!$A:$I,9,FALSE)="Cerrado",IF(G25=VLOOKUP(B25,PARTIDOS!$A:$I,8,FALSE),IF(AND(E25=VLOOKUP(B25,PARTIDOS!$A:$I,6,FALSE),F25=VLOOKUP(B25,PARTIDOS!$A:$I,7,FALSE)),3,1),0),"")</f>
        <v/>
      </c>
    </row>
    <row r="26" ht="20.1" customHeight="1">
      <c r="A26" s="12" t="inlineStr">
        <is>
          <t>Jugador 1</t>
        </is>
      </c>
      <c r="B26" s="8" t="inlineStr">
        <is>
          <t>M25</t>
        </is>
      </c>
      <c r="C26" s="12" t="inlineStr">
        <is>
          <t>Portugal</t>
        </is>
      </c>
      <c r="D26" s="12" t="inlineStr">
        <is>
          <t>Bélgica</t>
        </is>
      </c>
      <c r="E26" s="8" t="n"/>
      <c r="F26" s="8" t="n"/>
      <c r="G26" s="8">
        <f>IF(OR(ISBLANK(E26),ISBLANK(F26)),"",IF(E26&gt;F26,"Local",IF(E26=F26,"Empate","Visitante")))</f>
        <v/>
      </c>
      <c r="H26" s="8">
        <f>IF(VLOOKUP(B26,PARTIDOS!$A:$I,9,FALSE)="Cerrado",IF(G26=VLOOKUP(B26,PARTIDOS!$A:$I,8,FALSE),IF(AND(E26=VLOOKUP(B26,PARTIDOS!$A:$I,6,FALSE),F26=VLOOKUP(B26,PARTIDOS!$A:$I,7,FALSE)),3,1),0),"")</f>
        <v/>
      </c>
    </row>
    <row r="27" ht="20.1" customHeight="1">
      <c r="A27" s="12" t="inlineStr">
        <is>
          <t>Jugador 1</t>
        </is>
      </c>
      <c r="B27" s="8" t="inlineStr">
        <is>
          <t>M26</t>
        </is>
      </c>
      <c r="C27" s="12" t="inlineStr">
        <is>
          <t>Países Bajos</t>
        </is>
      </c>
      <c r="D27" s="12" t="inlineStr">
        <is>
          <t>Italia</t>
        </is>
      </c>
      <c r="E27" s="8" t="n"/>
      <c r="F27" s="8" t="n"/>
      <c r="G27" s="8">
        <f>IF(OR(ISBLANK(E27),ISBLANK(F27)),"",IF(E27&gt;F27,"Local",IF(E27=F27,"Empate","Visitante")))</f>
        <v/>
      </c>
      <c r="H27" s="8">
        <f>IF(VLOOKUP(B27,PARTIDOS!$A:$I,9,FALSE)="Cerrado",IF(G27=VLOOKUP(B27,PARTIDOS!$A:$I,8,FALSE),IF(AND(E27=VLOOKUP(B27,PARTIDOS!$A:$I,6,FALSE),F27=VLOOKUP(B27,PARTIDOS!$A:$I,7,FALSE)),3,1),0),"")</f>
        <v/>
      </c>
    </row>
    <row r="28" ht="20.1" customHeight="1">
      <c r="A28" s="12" t="inlineStr">
        <is>
          <t>Jugador 1</t>
        </is>
      </c>
      <c r="B28" s="8" t="inlineStr">
        <is>
          <t>M27</t>
        </is>
      </c>
      <c r="C28" s="12" t="inlineStr">
        <is>
          <t>Portugal</t>
        </is>
      </c>
      <c r="D28" s="12" t="inlineStr">
        <is>
          <t>Países Bajos</t>
        </is>
      </c>
      <c r="E28" s="8" t="n"/>
      <c r="F28" s="8" t="n"/>
      <c r="G28" s="8">
        <f>IF(OR(ISBLANK(E28),ISBLANK(F28)),"",IF(E28&gt;F28,"Local",IF(E28=F28,"Empate","Visitante")))</f>
        <v/>
      </c>
      <c r="H28" s="8">
        <f>IF(VLOOKUP(B28,PARTIDOS!$A:$I,9,FALSE)="Cerrado",IF(G28=VLOOKUP(B28,PARTIDOS!$A:$I,8,FALSE),IF(AND(E28=VLOOKUP(B28,PARTIDOS!$A:$I,6,FALSE),F28=VLOOKUP(B28,PARTIDOS!$A:$I,7,FALSE)),3,1),0),"")</f>
        <v/>
      </c>
    </row>
    <row r="29" ht="20.1" customHeight="1">
      <c r="A29" s="12" t="inlineStr">
        <is>
          <t>Jugador 1</t>
        </is>
      </c>
      <c r="B29" s="8" t="inlineStr">
        <is>
          <t>M28</t>
        </is>
      </c>
      <c r="C29" s="12" t="inlineStr">
        <is>
          <t>Bélgica</t>
        </is>
      </c>
      <c r="D29" s="12" t="inlineStr">
        <is>
          <t>Italia</t>
        </is>
      </c>
      <c r="E29" s="8" t="n"/>
      <c r="F29" s="8" t="n"/>
      <c r="G29" s="8">
        <f>IF(OR(ISBLANK(E29),ISBLANK(F29)),"",IF(E29&gt;F29,"Local",IF(E29=F29,"Empate","Visitante")))</f>
        <v/>
      </c>
      <c r="H29" s="8">
        <f>IF(VLOOKUP(B29,PARTIDOS!$A:$I,9,FALSE)="Cerrado",IF(G29=VLOOKUP(B29,PARTIDOS!$A:$I,8,FALSE),IF(AND(E29=VLOOKUP(B29,PARTIDOS!$A:$I,6,FALSE),F29=VLOOKUP(B29,PARTIDOS!$A:$I,7,FALSE)),3,1),0),"")</f>
        <v/>
      </c>
    </row>
    <row r="30" ht="20.1" customHeight="1">
      <c r="A30" s="12" t="inlineStr">
        <is>
          <t>Jugador 1</t>
        </is>
      </c>
      <c r="B30" s="8" t="inlineStr">
        <is>
          <t>M29</t>
        </is>
      </c>
      <c r="C30" s="12" t="inlineStr">
        <is>
          <t>Portugal</t>
        </is>
      </c>
      <c r="D30" s="12" t="inlineStr">
        <is>
          <t>Italia</t>
        </is>
      </c>
      <c r="E30" s="8" t="n"/>
      <c r="F30" s="8" t="n"/>
      <c r="G30" s="8">
        <f>IF(OR(ISBLANK(E30),ISBLANK(F30)),"",IF(E30&gt;F30,"Local",IF(E30=F30,"Empate","Visitante")))</f>
        <v/>
      </c>
      <c r="H30" s="8">
        <f>IF(VLOOKUP(B30,PARTIDOS!$A:$I,9,FALSE)="Cerrado",IF(G30=VLOOKUP(B30,PARTIDOS!$A:$I,8,FALSE),IF(AND(E30=VLOOKUP(B30,PARTIDOS!$A:$I,6,FALSE),F30=VLOOKUP(B30,PARTIDOS!$A:$I,7,FALSE)),3,1),0),"")</f>
        <v/>
      </c>
    </row>
    <row r="31" ht="20.1" customHeight="1">
      <c r="A31" s="12" t="inlineStr">
        <is>
          <t>Jugador 1</t>
        </is>
      </c>
      <c r="B31" s="8" t="inlineStr">
        <is>
          <t>M30</t>
        </is>
      </c>
      <c r="C31" s="12" t="inlineStr">
        <is>
          <t>Bélgica</t>
        </is>
      </c>
      <c r="D31" s="12" t="inlineStr">
        <is>
          <t>Países Bajos</t>
        </is>
      </c>
      <c r="E31" s="8" t="n"/>
      <c r="F31" s="8" t="n"/>
      <c r="G31" s="8">
        <f>IF(OR(ISBLANK(E31),ISBLANK(F31)),"",IF(E31&gt;F31,"Local",IF(E31=F31,"Empate","Visitante")))</f>
        <v/>
      </c>
      <c r="H31" s="8">
        <f>IF(VLOOKUP(B31,PARTIDOS!$A:$I,9,FALSE)="Cerrado",IF(G31=VLOOKUP(B31,PARTIDOS!$A:$I,8,FALSE),IF(AND(E31=VLOOKUP(B31,PARTIDOS!$A:$I,6,FALSE),F31=VLOOKUP(B31,PARTIDOS!$A:$I,7,FALSE)),3,1),0),"")</f>
        <v/>
      </c>
    </row>
    <row r="32" ht="20.1" customHeight="1">
      <c r="A32" s="12" t="inlineStr">
        <is>
          <t>Jugador 1</t>
        </is>
      </c>
      <c r="B32" s="8" t="inlineStr">
        <is>
          <t>M31</t>
        </is>
      </c>
      <c r="C32" s="12" t="inlineStr">
        <is>
          <t>Croacia</t>
        </is>
      </c>
      <c r="D32" s="12" t="inlineStr">
        <is>
          <t>Suiza</t>
        </is>
      </c>
      <c r="E32" s="8" t="n"/>
      <c r="F32" s="8" t="n"/>
      <c r="G32" s="8">
        <f>IF(OR(ISBLANK(E32),ISBLANK(F32)),"",IF(E32&gt;F32,"Local",IF(E32=F32,"Empate","Visitante")))</f>
        <v/>
      </c>
      <c r="H32" s="8">
        <f>IF(VLOOKUP(B32,PARTIDOS!$A:$I,9,FALSE)="Cerrado",IF(G32=VLOOKUP(B32,PARTIDOS!$A:$I,8,FALSE),IF(AND(E32=VLOOKUP(B32,PARTIDOS!$A:$I,6,FALSE),F32=VLOOKUP(B32,PARTIDOS!$A:$I,7,FALSE)),3,1),0),"")</f>
        <v/>
      </c>
    </row>
    <row r="33" ht="20.1" customHeight="1">
      <c r="A33" s="12" t="inlineStr">
        <is>
          <t>Jugador 1</t>
        </is>
      </c>
      <c r="B33" s="8" t="inlineStr">
        <is>
          <t>M32</t>
        </is>
      </c>
      <c r="C33" s="12" t="inlineStr">
        <is>
          <t>Dinamarca</t>
        </is>
      </c>
      <c r="D33" s="12" t="inlineStr">
        <is>
          <t>Serbia</t>
        </is>
      </c>
      <c r="E33" s="8" t="n"/>
      <c r="F33" s="8" t="n"/>
      <c r="G33" s="8">
        <f>IF(OR(ISBLANK(E33),ISBLANK(F33)),"",IF(E33&gt;F33,"Local",IF(E33=F33,"Empate","Visitante")))</f>
        <v/>
      </c>
      <c r="H33" s="8">
        <f>IF(VLOOKUP(B33,PARTIDOS!$A:$I,9,FALSE)="Cerrado",IF(G33=VLOOKUP(B33,PARTIDOS!$A:$I,8,FALSE),IF(AND(E33=VLOOKUP(B33,PARTIDOS!$A:$I,6,FALSE),F33=VLOOKUP(B33,PARTIDOS!$A:$I,7,FALSE)),3,1),0),"")</f>
        <v/>
      </c>
    </row>
    <row r="34" ht="20.1" customHeight="1">
      <c r="A34" s="12" t="inlineStr">
        <is>
          <t>Jugador 1</t>
        </is>
      </c>
      <c r="B34" s="8" t="inlineStr">
        <is>
          <t>M33</t>
        </is>
      </c>
      <c r="C34" s="12" t="inlineStr">
        <is>
          <t>Croacia</t>
        </is>
      </c>
      <c r="D34" s="12" t="inlineStr">
        <is>
          <t>Dinamarca</t>
        </is>
      </c>
      <c r="E34" s="8" t="n"/>
      <c r="F34" s="8" t="n"/>
      <c r="G34" s="8">
        <f>IF(OR(ISBLANK(E34),ISBLANK(F34)),"",IF(E34&gt;F34,"Local",IF(E34=F34,"Empate","Visitante")))</f>
        <v/>
      </c>
      <c r="H34" s="8">
        <f>IF(VLOOKUP(B34,PARTIDOS!$A:$I,9,FALSE)="Cerrado",IF(G34=VLOOKUP(B34,PARTIDOS!$A:$I,8,FALSE),IF(AND(E34=VLOOKUP(B34,PARTIDOS!$A:$I,6,FALSE),F34=VLOOKUP(B34,PARTIDOS!$A:$I,7,FALSE)),3,1),0),"")</f>
        <v/>
      </c>
    </row>
    <row r="35" ht="20.1" customHeight="1">
      <c r="A35" s="12" t="inlineStr">
        <is>
          <t>Jugador 1</t>
        </is>
      </c>
      <c r="B35" s="8" t="inlineStr">
        <is>
          <t>M34</t>
        </is>
      </c>
      <c r="C35" s="12" t="inlineStr">
        <is>
          <t>Suiza</t>
        </is>
      </c>
      <c r="D35" s="12" t="inlineStr">
        <is>
          <t>Serbia</t>
        </is>
      </c>
      <c r="E35" s="8" t="n"/>
      <c r="F35" s="8" t="n"/>
      <c r="G35" s="8">
        <f>IF(OR(ISBLANK(E35),ISBLANK(F35)),"",IF(E35&gt;F35,"Local",IF(E35=F35,"Empate","Visitante")))</f>
        <v/>
      </c>
      <c r="H35" s="8">
        <f>IF(VLOOKUP(B35,PARTIDOS!$A:$I,9,FALSE)="Cerrado",IF(G35=VLOOKUP(B35,PARTIDOS!$A:$I,8,FALSE),IF(AND(E35=VLOOKUP(B35,PARTIDOS!$A:$I,6,FALSE),F35=VLOOKUP(B35,PARTIDOS!$A:$I,7,FALSE)),3,1),0),"")</f>
        <v/>
      </c>
    </row>
    <row r="36" ht="20.1" customHeight="1">
      <c r="A36" s="12" t="inlineStr">
        <is>
          <t>Jugador 1</t>
        </is>
      </c>
      <c r="B36" s="8" t="inlineStr">
        <is>
          <t>M35</t>
        </is>
      </c>
      <c r="C36" s="12" t="inlineStr">
        <is>
          <t>Croacia</t>
        </is>
      </c>
      <c r="D36" s="12" t="inlineStr">
        <is>
          <t>Serbia</t>
        </is>
      </c>
      <c r="E36" s="8" t="n"/>
      <c r="F36" s="8" t="n"/>
      <c r="G36" s="8">
        <f>IF(OR(ISBLANK(E36),ISBLANK(F36)),"",IF(E36&gt;F36,"Local",IF(E36=F36,"Empate","Visitante")))</f>
        <v/>
      </c>
      <c r="H36" s="8">
        <f>IF(VLOOKUP(B36,PARTIDOS!$A:$I,9,FALSE)="Cerrado",IF(G36=VLOOKUP(B36,PARTIDOS!$A:$I,8,FALSE),IF(AND(E36=VLOOKUP(B36,PARTIDOS!$A:$I,6,FALSE),F36=VLOOKUP(B36,PARTIDOS!$A:$I,7,FALSE)),3,1),0),"")</f>
        <v/>
      </c>
    </row>
    <row r="37" ht="20.1" customHeight="1">
      <c r="A37" s="12" t="inlineStr">
        <is>
          <t>Jugador 1</t>
        </is>
      </c>
      <c r="B37" s="8" t="inlineStr">
        <is>
          <t>M36</t>
        </is>
      </c>
      <c r="C37" s="12" t="inlineStr">
        <is>
          <t>Suiza</t>
        </is>
      </c>
      <c r="D37" s="12" t="inlineStr">
        <is>
          <t>Dinamarca</t>
        </is>
      </c>
      <c r="E37" s="8" t="n"/>
      <c r="F37" s="8" t="n"/>
      <c r="G37" s="8">
        <f>IF(OR(ISBLANK(E37),ISBLANK(F37)),"",IF(E37&gt;F37,"Local",IF(E37=F37,"Empate","Visitante")))</f>
        <v/>
      </c>
      <c r="H37" s="8">
        <f>IF(VLOOKUP(B37,PARTIDOS!$A:$I,9,FALSE)="Cerrado",IF(G37=VLOOKUP(B37,PARTIDOS!$A:$I,8,FALSE),IF(AND(E37=VLOOKUP(B37,PARTIDOS!$A:$I,6,FALSE),F37=VLOOKUP(B37,PARTIDOS!$A:$I,7,FALSE)),3,1),0),"")</f>
        <v/>
      </c>
    </row>
    <row r="38" ht="20.1" customHeight="1">
      <c r="A38" s="12" t="inlineStr">
        <is>
          <t>Jugador 1</t>
        </is>
      </c>
      <c r="B38" s="8" t="inlineStr">
        <is>
          <t>M37</t>
        </is>
      </c>
      <c r="C38" s="12" t="inlineStr">
        <is>
          <t>Polonia</t>
        </is>
      </c>
      <c r="D38" s="12" t="inlineStr">
        <is>
          <t>Ucrania</t>
        </is>
      </c>
      <c r="E38" s="8" t="n"/>
      <c r="F38" s="8" t="n"/>
      <c r="G38" s="8">
        <f>IF(OR(ISBLANK(E38),ISBLANK(F38)),"",IF(E38&gt;F38,"Local",IF(E38=F38,"Empate","Visitante")))</f>
        <v/>
      </c>
      <c r="H38" s="8">
        <f>IF(VLOOKUP(B38,PARTIDOS!$A:$I,9,FALSE)="Cerrado",IF(G38=VLOOKUP(B38,PARTIDOS!$A:$I,8,FALSE),IF(AND(E38=VLOOKUP(B38,PARTIDOS!$A:$I,6,FALSE),F38=VLOOKUP(B38,PARTIDOS!$A:$I,7,FALSE)),3,1),0),"")</f>
        <v/>
      </c>
    </row>
    <row r="39" ht="20.1" customHeight="1">
      <c r="A39" s="12" t="inlineStr">
        <is>
          <t>Jugador 1</t>
        </is>
      </c>
      <c r="B39" s="8" t="inlineStr">
        <is>
          <t>M38</t>
        </is>
      </c>
      <c r="C39" s="12" t="inlineStr">
        <is>
          <t>Suecia</t>
        </is>
      </c>
      <c r="D39" s="12" t="inlineStr">
        <is>
          <t>Gales</t>
        </is>
      </c>
      <c r="E39" s="8" t="n"/>
      <c r="F39" s="8" t="n"/>
      <c r="G39" s="8">
        <f>IF(OR(ISBLANK(E39),ISBLANK(F39)),"",IF(E39&gt;F39,"Local",IF(E39=F39,"Empate","Visitante")))</f>
        <v/>
      </c>
      <c r="H39" s="8">
        <f>IF(VLOOKUP(B39,PARTIDOS!$A:$I,9,FALSE)="Cerrado",IF(G39=VLOOKUP(B39,PARTIDOS!$A:$I,8,FALSE),IF(AND(E39=VLOOKUP(B39,PARTIDOS!$A:$I,6,FALSE),F39=VLOOKUP(B39,PARTIDOS!$A:$I,7,FALSE)),3,1),0),"")</f>
        <v/>
      </c>
    </row>
    <row r="40" ht="20.1" customHeight="1">
      <c r="A40" s="12" t="inlineStr">
        <is>
          <t>Jugador 1</t>
        </is>
      </c>
      <c r="B40" s="8" t="inlineStr">
        <is>
          <t>M39</t>
        </is>
      </c>
      <c r="C40" s="12" t="inlineStr">
        <is>
          <t>Polonia</t>
        </is>
      </c>
      <c r="D40" s="12" t="inlineStr">
        <is>
          <t>Suecia</t>
        </is>
      </c>
      <c r="E40" s="8" t="n"/>
      <c r="F40" s="8" t="n"/>
      <c r="G40" s="8">
        <f>IF(OR(ISBLANK(E40),ISBLANK(F40)),"",IF(E40&gt;F40,"Local",IF(E40=F40,"Empate","Visitante")))</f>
        <v/>
      </c>
      <c r="H40" s="8">
        <f>IF(VLOOKUP(B40,PARTIDOS!$A:$I,9,FALSE)="Cerrado",IF(G40=VLOOKUP(B40,PARTIDOS!$A:$I,8,FALSE),IF(AND(E40=VLOOKUP(B40,PARTIDOS!$A:$I,6,FALSE),F40=VLOOKUP(B40,PARTIDOS!$A:$I,7,FALSE)),3,1),0),"")</f>
        <v/>
      </c>
    </row>
    <row r="41" ht="20.1" customHeight="1">
      <c r="A41" s="12" t="inlineStr">
        <is>
          <t>Jugador 1</t>
        </is>
      </c>
      <c r="B41" s="8" t="inlineStr">
        <is>
          <t>M40</t>
        </is>
      </c>
      <c r="C41" s="12" t="inlineStr">
        <is>
          <t>Ucrania</t>
        </is>
      </c>
      <c r="D41" s="12" t="inlineStr">
        <is>
          <t>Gales</t>
        </is>
      </c>
      <c r="E41" s="8" t="n"/>
      <c r="F41" s="8" t="n"/>
      <c r="G41" s="8">
        <f>IF(OR(ISBLANK(E41),ISBLANK(F41)),"",IF(E41&gt;F41,"Local",IF(E41=F41,"Empate","Visitante")))</f>
        <v/>
      </c>
      <c r="H41" s="8">
        <f>IF(VLOOKUP(B41,PARTIDOS!$A:$I,9,FALSE)="Cerrado",IF(G41=VLOOKUP(B41,PARTIDOS!$A:$I,8,FALSE),IF(AND(E41=VLOOKUP(B41,PARTIDOS!$A:$I,6,FALSE),F41=VLOOKUP(B41,PARTIDOS!$A:$I,7,FALSE)),3,1),0),"")</f>
        <v/>
      </c>
    </row>
    <row r="42" ht="20.1" customHeight="1">
      <c r="A42" s="12" t="inlineStr">
        <is>
          <t>Jugador 1</t>
        </is>
      </c>
      <c r="B42" s="8" t="inlineStr">
        <is>
          <t>M41</t>
        </is>
      </c>
      <c r="C42" s="12" t="inlineStr">
        <is>
          <t>Polonia</t>
        </is>
      </c>
      <c r="D42" s="12" t="inlineStr">
        <is>
          <t>Gales</t>
        </is>
      </c>
      <c r="E42" s="8" t="n"/>
      <c r="F42" s="8" t="n"/>
      <c r="G42" s="8">
        <f>IF(OR(ISBLANK(E42),ISBLANK(F42)),"",IF(E42&gt;F42,"Local",IF(E42=F42,"Empate","Visitante")))</f>
        <v/>
      </c>
      <c r="H42" s="8">
        <f>IF(VLOOKUP(B42,PARTIDOS!$A:$I,9,FALSE)="Cerrado",IF(G42=VLOOKUP(B42,PARTIDOS!$A:$I,8,FALSE),IF(AND(E42=VLOOKUP(B42,PARTIDOS!$A:$I,6,FALSE),F42=VLOOKUP(B42,PARTIDOS!$A:$I,7,FALSE)),3,1),0),"")</f>
        <v/>
      </c>
    </row>
    <row r="43" ht="20.1" customHeight="1">
      <c r="A43" s="12" t="inlineStr">
        <is>
          <t>Jugador 1</t>
        </is>
      </c>
      <c r="B43" s="8" t="inlineStr">
        <is>
          <t>M42</t>
        </is>
      </c>
      <c r="C43" s="12" t="inlineStr">
        <is>
          <t>Ucrania</t>
        </is>
      </c>
      <c r="D43" s="12" t="inlineStr">
        <is>
          <t>Suecia</t>
        </is>
      </c>
      <c r="E43" s="8" t="n"/>
      <c r="F43" s="8" t="n"/>
      <c r="G43" s="8">
        <f>IF(OR(ISBLANK(E43),ISBLANK(F43)),"",IF(E43&gt;F43,"Local",IF(E43=F43,"Empate","Visitante")))</f>
        <v/>
      </c>
      <c r="H43" s="8">
        <f>IF(VLOOKUP(B43,PARTIDOS!$A:$I,9,FALSE)="Cerrado",IF(G43=VLOOKUP(B43,PARTIDOS!$A:$I,8,FALSE),IF(AND(E43=VLOOKUP(B43,PARTIDOS!$A:$I,6,FALSE),F43=VLOOKUP(B43,PARTIDOS!$A:$I,7,FALSE)),3,1),0),"")</f>
        <v/>
      </c>
    </row>
    <row r="44" ht="20.1" customHeight="1">
      <c r="A44" s="12" t="inlineStr">
        <is>
          <t>Jugador 1</t>
        </is>
      </c>
      <c r="B44" s="8" t="inlineStr">
        <is>
          <t>M43</t>
        </is>
      </c>
      <c r="C44" s="12" t="inlineStr">
        <is>
          <t>Austria</t>
        </is>
      </c>
      <c r="D44" s="12" t="inlineStr">
        <is>
          <t>Hungría</t>
        </is>
      </c>
      <c r="E44" s="8" t="n"/>
      <c r="F44" s="8" t="n"/>
      <c r="G44" s="8">
        <f>IF(OR(ISBLANK(E44),ISBLANK(F44)),"",IF(E44&gt;F44,"Local",IF(E44=F44,"Empate","Visitante")))</f>
        <v/>
      </c>
      <c r="H44" s="8">
        <f>IF(VLOOKUP(B44,PARTIDOS!$A:$I,9,FALSE)="Cerrado",IF(G44=VLOOKUP(B44,PARTIDOS!$A:$I,8,FALSE),IF(AND(E44=VLOOKUP(B44,PARTIDOS!$A:$I,6,FALSE),F44=VLOOKUP(B44,PARTIDOS!$A:$I,7,FALSE)),3,1),0),"")</f>
        <v/>
      </c>
    </row>
    <row r="45" ht="20.1" customHeight="1">
      <c r="A45" s="12" t="inlineStr">
        <is>
          <t>Jugador 1</t>
        </is>
      </c>
      <c r="B45" s="8" t="inlineStr">
        <is>
          <t>M44</t>
        </is>
      </c>
      <c r="C45" s="12" t="inlineStr">
        <is>
          <t>Turquía</t>
        </is>
      </c>
      <c r="D45" s="12" t="inlineStr">
        <is>
          <t>Escocia</t>
        </is>
      </c>
      <c r="E45" s="8" t="n"/>
      <c r="F45" s="8" t="n"/>
      <c r="G45" s="8">
        <f>IF(OR(ISBLANK(E45),ISBLANK(F45)),"",IF(E45&gt;F45,"Local",IF(E45=F45,"Empate","Visitante")))</f>
        <v/>
      </c>
      <c r="H45" s="8">
        <f>IF(VLOOKUP(B45,PARTIDOS!$A:$I,9,FALSE)="Cerrado",IF(G45=VLOOKUP(B45,PARTIDOS!$A:$I,8,FALSE),IF(AND(E45=VLOOKUP(B45,PARTIDOS!$A:$I,6,FALSE),F45=VLOOKUP(B45,PARTIDOS!$A:$I,7,FALSE)),3,1),0),"")</f>
        <v/>
      </c>
    </row>
    <row r="46" ht="20.1" customHeight="1">
      <c r="A46" s="12" t="inlineStr">
        <is>
          <t>Jugador 1</t>
        </is>
      </c>
      <c r="B46" s="8" t="inlineStr">
        <is>
          <t>M45</t>
        </is>
      </c>
      <c r="C46" s="12" t="inlineStr">
        <is>
          <t>Austria</t>
        </is>
      </c>
      <c r="D46" s="12" t="inlineStr">
        <is>
          <t>Turquía</t>
        </is>
      </c>
      <c r="E46" s="8" t="n"/>
      <c r="F46" s="8" t="n"/>
      <c r="G46" s="8">
        <f>IF(OR(ISBLANK(E46),ISBLANK(F46)),"",IF(E46&gt;F46,"Local",IF(E46=F46,"Empate","Visitante")))</f>
        <v/>
      </c>
      <c r="H46" s="8">
        <f>IF(VLOOKUP(B46,PARTIDOS!$A:$I,9,FALSE)="Cerrado",IF(G46=VLOOKUP(B46,PARTIDOS!$A:$I,8,FALSE),IF(AND(E46=VLOOKUP(B46,PARTIDOS!$A:$I,6,FALSE),F46=VLOOKUP(B46,PARTIDOS!$A:$I,7,FALSE)),3,1),0),"")</f>
        <v/>
      </c>
    </row>
    <row r="47" ht="20.1" customHeight="1">
      <c r="A47" s="12" t="inlineStr">
        <is>
          <t>Jugador 1</t>
        </is>
      </c>
      <c r="B47" s="8" t="inlineStr">
        <is>
          <t>M46</t>
        </is>
      </c>
      <c r="C47" s="12" t="inlineStr">
        <is>
          <t>Hungría</t>
        </is>
      </c>
      <c r="D47" s="12" t="inlineStr">
        <is>
          <t>Escocia</t>
        </is>
      </c>
      <c r="E47" s="8" t="n"/>
      <c r="F47" s="8" t="n"/>
      <c r="G47" s="8">
        <f>IF(OR(ISBLANK(E47),ISBLANK(F47)),"",IF(E47&gt;F47,"Local",IF(E47=F47,"Empate","Visitante")))</f>
        <v/>
      </c>
      <c r="H47" s="8">
        <f>IF(VLOOKUP(B47,PARTIDOS!$A:$I,9,FALSE)="Cerrado",IF(G47=VLOOKUP(B47,PARTIDOS!$A:$I,8,FALSE),IF(AND(E47=VLOOKUP(B47,PARTIDOS!$A:$I,6,FALSE),F47=VLOOKUP(B47,PARTIDOS!$A:$I,7,FALSE)),3,1),0),"")</f>
        <v/>
      </c>
    </row>
    <row r="48" ht="20.1" customHeight="1">
      <c r="A48" s="12" t="inlineStr">
        <is>
          <t>Jugador 1</t>
        </is>
      </c>
      <c r="B48" s="8" t="inlineStr">
        <is>
          <t>M47</t>
        </is>
      </c>
      <c r="C48" s="12" t="inlineStr">
        <is>
          <t>Austria</t>
        </is>
      </c>
      <c r="D48" s="12" t="inlineStr">
        <is>
          <t>Escocia</t>
        </is>
      </c>
      <c r="E48" s="8" t="n"/>
      <c r="F48" s="8" t="n"/>
      <c r="G48" s="8">
        <f>IF(OR(ISBLANK(E48),ISBLANK(F48)),"",IF(E48&gt;F48,"Local",IF(E48=F48,"Empate","Visitante")))</f>
        <v/>
      </c>
      <c r="H48" s="8">
        <f>IF(VLOOKUP(B48,PARTIDOS!$A:$I,9,FALSE)="Cerrado",IF(G48=VLOOKUP(B48,PARTIDOS!$A:$I,8,FALSE),IF(AND(E48=VLOOKUP(B48,PARTIDOS!$A:$I,6,FALSE),F48=VLOOKUP(B48,PARTIDOS!$A:$I,7,FALSE)),3,1),0),"")</f>
        <v/>
      </c>
    </row>
    <row r="49" ht="20.1" customHeight="1">
      <c r="A49" s="12" t="inlineStr">
        <is>
          <t>Jugador 1</t>
        </is>
      </c>
      <c r="B49" s="8" t="inlineStr">
        <is>
          <t>M48</t>
        </is>
      </c>
      <c r="C49" s="12" t="inlineStr">
        <is>
          <t>Hungría</t>
        </is>
      </c>
      <c r="D49" s="12" t="inlineStr">
        <is>
          <t>Turquía</t>
        </is>
      </c>
      <c r="E49" s="8" t="n"/>
      <c r="F49" s="8" t="n"/>
      <c r="G49" s="8">
        <f>IF(OR(ISBLANK(E49),ISBLANK(F49)),"",IF(E49&gt;F49,"Local",IF(E49=F49,"Empate","Visitante")))</f>
        <v/>
      </c>
      <c r="H49" s="8">
        <f>IF(VLOOKUP(B49,PARTIDOS!$A:$I,9,FALSE)="Cerrado",IF(G49=VLOOKUP(B49,PARTIDOS!$A:$I,8,FALSE),IF(AND(E49=VLOOKUP(B49,PARTIDOS!$A:$I,6,FALSE),F49=VLOOKUP(B49,PARTIDOS!$A:$I,7,FALSE)),3,1),0),"")</f>
        <v/>
      </c>
    </row>
    <row r="50" ht="20.1" customHeight="1">
      <c r="A50" s="12" t="inlineStr">
        <is>
          <t>Jugador 1</t>
        </is>
      </c>
      <c r="B50" s="8" t="inlineStr">
        <is>
          <t>M49</t>
        </is>
      </c>
      <c r="C50" s="12" t="inlineStr">
        <is>
          <t>República Checa</t>
        </is>
      </c>
      <c r="D50" s="12" t="inlineStr">
        <is>
          <t>Noruega</t>
        </is>
      </c>
      <c r="E50" s="8" t="n"/>
      <c r="F50" s="8" t="n"/>
      <c r="G50" s="8">
        <f>IF(OR(ISBLANK(E50),ISBLANK(F50)),"",IF(E50&gt;F50,"Local",IF(E50=F50,"Empate","Visitante")))</f>
        <v/>
      </c>
      <c r="H50" s="8">
        <f>IF(VLOOKUP(B50,PARTIDOS!$A:$I,9,FALSE)="Cerrado",IF(G50=VLOOKUP(B50,PARTIDOS!$A:$I,8,FALSE),IF(AND(E50=VLOOKUP(B50,PARTIDOS!$A:$I,6,FALSE),F50=VLOOKUP(B50,PARTIDOS!$A:$I,7,FALSE)),3,1),0),"")</f>
        <v/>
      </c>
    </row>
    <row r="51" ht="20.1" customHeight="1">
      <c r="A51" s="12" t="inlineStr">
        <is>
          <t>Jugador 1</t>
        </is>
      </c>
      <c r="B51" s="8" t="inlineStr">
        <is>
          <t>M50</t>
        </is>
      </c>
      <c r="C51" s="12" t="inlineStr">
        <is>
          <t>Japón</t>
        </is>
      </c>
      <c r="D51" s="12" t="inlineStr">
        <is>
          <t>Irán</t>
        </is>
      </c>
      <c r="E51" s="8" t="n"/>
      <c r="F51" s="8" t="n"/>
      <c r="G51" s="8">
        <f>IF(OR(ISBLANK(E51),ISBLANK(F51)),"",IF(E51&gt;F51,"Local",IF(E51=F51,"Empate","Visitante")))</f>
        <v/>
      </c>
      <c r="H51" s="8">
        <f>IF(VLOOKUP(B51,PARTIDOS!$A:$I,9,FALSE)="Cerrado",IF(G51=VLOOKUP(B51,PARTIDOS!$A:$I,8,FALSE),IF(AND(E51=VLOOKUP(B51,PARTIDOS!$A:$I,6,FALSE),F51=VLOOKUP(B51,PARTIDOS!$A:$I,7,FALSE)),3,1),0),"")</f>
        <v/>
      </c>
    </row>
    <row r="52" ht="20.1" customHeight="1">
      <c r="A52" s="12" t="inlineStr">
        <is>
          <t>Jugador 1</t>
        </is>
      </c>
      <c r="B52" s="8" t="inlineStr">
        <is>
          <t>M51</t>
        </is>
      </c>
      <c r="C52" s="12" t="inlineStr">
        <is>
          <t>República Checa</t>
        </is>
      </c>
      <c r="D52" s="12" t="inlineStr">
        <is>
          <t>Japón</t>
        </is>
      </c>
      <c r="E52" s="8" t="n"/>
      <c r="F52" s="8" t="n"/>
      <c r="G52" s="8">
        <f>IF(OR(ISBLANK(E52),ISBLANK(F52)),"",IF(E52&gt;F52,"Local",IF(E52=F52,"Empate","Visitante")))</f>
        <v/>
      </c>
      <c r="H52" s="8">
        <f>IF(VLOOKUP(B52,PARTIDOS!$A:$I,9,FALSE)="Cerrado",IF(G52=VLOOKUP(B52,PARTIDOS!$A:$I,8,FALSE),IF(AND(E52=VLOOKUP(B52,PARTIDOS!$A:$I,6,FALSE),F52=VLOOKUP(B52,PARTIDOS!$A:$I,7,FALSE)),3,1),0),"")</f>
        <v/>
      </c>
    </row>
    <row r="53" ht="20.1" customHeight="1">
      <c r="A53" s="12" t="inlineStr">
        <is>
          <t>Jugador 1</t>
        </is>
      </c>
      <c r="B53" s="8" t="inlineStr">
        <is>
          <t>M52</t>
        </is>
      </c>
      <c r="C53" s="12" t="inlineStr">
        <is>
          <t>Noruega</t>
        </is>
      </c>
      <c r="D53" s="12" t="inlineStr">
        <is>
          <t>Irán</t>
        </is>
      </c>
      <c r="E53" s="8" t="n"/>
      <c r="F53" s="8" t="n"/>
      <c r="G53" s="8">
        <f>IF(OR(ISBLANK(E53),ISBLANK(F53)),"",IF(E53&gt;F53,"Local",IF(E53=F53,"Empate","Visitante")))</f>
        <v/>
      </c>
      <c r="H53" s="8">
        <f>IF(VLOOKUP(B53,PARTIDOS!$A:$I,9,FALSE)="Cerrado",IF(G53=VLOOKUP(B53,PARTIDOS!$A:$I,8,FALSE),IF(AND(E53=VLOOKUP(B53,PARTIDOS!$A:$I,6,FALSE),F53=VLOOKUP(B53,PARTIDOS!$A:$I,7,FALSE)),3,1),0),"")</f>
        <v/>
      </c>
    </row>
    <row r="54" ht="20.1" customHeight="1">
      <c r="A54" s="12" t="inlineStr">
        <is>
          <t>Jugador 1</t>
        </is>
      </c>
      <c r="B54" s="8" t="inlineStr">
        <is>
          <t>M53</t>
        </is>
      </c>
      <c r="C54" s="12" t="inlineStr">
        <is>
          <t>República Checa</t>
        </is>
      </c>
      <c r="D54" s="12" t="inlineStr">
        <is>
          <t>Irán</t>
        </is>
      </c>
      <c r="E54" s="8" t="n"/>
      <c r="F54" s="8" t="n"/>
      <c r="G54" s="8">
        <f>IF(OR(ISBLANK(E54),ISBLANK(F54)),"",IF(E54&gt;F54,"Local",IF(E54=F54,"Empate","Visitante")))</f>
        <v/>
      </c>
      <c r="H54" s="8">
        <f>IF(VLOOKUP(B54,PARTIDOS!$A:$I,9,FALSE)="Cerrado",IF(G54=VLOOKUP(B54,PARTIDOS!$A:$I,8,FALSE),IF(AND(E54=VLOOKUP(B54,PARTIDOS!$A:$I,6,FALSE),F54=VLOOKUP(B54,PARTIDOS!$A:$I,7,FALSE)),3,1),0),"")</f>
        <v/>
      </c>
    </row>
    <row r="55" ht="20.1" customHeight="1">
      <c r="A55" s="12" t="inlineStr">
        <is>
          <t>Jugador 1</t>
        </is>
      </c>
      <c r="B55" s="8" t="inlineStr">
        <is>
          <t>M54</t>
        </is>
      </c>
      <c r="C55" s="12" t="inlineStr">
        <is>
          <t>Noruega</t>
        </is>
      </c>
      <c r="D55" s="12" t="inlineStr">
        <is>
          <t>Japón</t>
        </is>
      </c>
      <c r="E55" s="8" t="n"/>
      <c r="F55" s="8" t="n"/>
      <c r="G55" s="8">
        <f>IF(OR(ISBLANK(E55),ISBLANK(F55)),"",IF(E55&gt;F55,"Local",IF(E55=F55,"Empate","Visitante")))</f>
        <v/>
      </c>
      <c r="H55" s="8">
        <f>IF(VLOOKUP(B55,PARTIDOS!$A:$I,9,FALSE)="Cerrado",IF(G55=VLOOKUP(B55,PARTIDOS!$A:$I,8,FALSE),IF(AND(E55=VLOOKUP(B55,PARTIDOS!$A:$I,6,FALSE),F55=VLOOKUP(B55,PARTIDOS!$A:$I,7,FALSE)),3,1),0),"")</f>
        <v/>
      </c>
    </row>
    <row r="56" ht="20.1" customHeight="1">
      <c r="A56" s="12" t="inlineStr">
        <is>
          <t>Jugador 1</t>
        </is>
      </c>
      <c r="B56" s="8" t="inlineStr">
        <is>
          <t>M55</t>
        </is>
      </c>
      <c r="C56" s="12" t="inlineStr">
        <is>
          <t>Corea del Sur</t>
        </is>
      </c>
      <c r="D56" s="12" t="inlineStr">
        <is>
          <t>Australia</t>
        </is>
      </c>
      <c r="E56" s="8" t="n"/>
      <c r="F56" s="8" t="n"/>
      <c r="G56" s="8">
        <f>IF(OR(ISBLANK(E56),ISBLANK(F56)),"",IF(E56&gt;F56,"Local",IF(E56=F56,"Empate","Visitante")))</f>
        <v/>
      </c>
      <c r="H56" s="8">
        <f>IF(VLOOKUP(B56,PARTIDOS!$A:$I,9,FALSE)="Cerrado",IF(G56=VLOOKUP(B56,PARTIDOS!$A:$I,8,FALSE),IF(AND(E56=VLOOKUP(B56,PARTIDOS!$A:$I,6,FALSE),F56=VLOOKUP(B56,PARTIDOS!$A:$I,7,FALSE)),3,1),0),"")</f>
        <v/>
      </c>
    </row>
    <row r="57" ht="20.1" customHeight="1">
      <c r="A57" s="12" t="inlineStr">
        <is>
          <t>Jugador 1</t>
        </is>
      </c>
      <c r="B57" s="8" t="inlineStr">
        <is>
          <t>M56</t>
        </is>
      </c>
      <c r="C57" s="12" t="inlineStr">
        <is>
          <t>Marruecos</t>
        </is>
      </c>
      <c r="D57" s="12" t="inlineStr">
        <is>
          <t>Senegal</t>
        </is>
      </c>
      <c r="E57" s="8" t="n"/>
      <c r="F57" s="8" t="n"/>
      <c r="G57" s="8">
        <f>IF(OR(ISBLANK(E57),ISBLANK(F57)),"",IF(E57&gt;F57,"Local",IF(E57=F57,"Empate","Visitante")))</f>
        <v/>
      </c>
      <c r="H57" s="8">
        <f>IF(VLOOKUP(B57,PARTIDOS!$A:$I,9,FALSE)="Cerrado",IF(G57=VLOOKUP(B57,PARTIDOS!$A:$I,8,FALSE),IF(AND(E57=VLOOKUP(B57,PARTIDOS!$A:$I,6,FALSE),F57=VLOOKUP(B57,PARTIDOS!$A:$I,7,FALSE)),3,1),0),"")</f>
        <v/>
      </c>
    </row>
    <row r="58" ht="20.1" customHeight="1">
      <c r="A58" s="12" t="inlineStr">
        <is>
          <t>Jugador 1</t>
        </is>
      </c>
      <c r="B58" s="8" t="inlineStr">
        <is>
          <t>M57</t>
        </is>
      </c>
      <c r="C58" s="12" t="inlineStr">
        <is>
          <t>Corea del Sur</t>
        </is>
      </c>
      <c r="D58" s="12" t="inlineStr">
        <is>
          <t>Marruecos</t>
        </is>
      </c>
      <c r="E58" s="8" t="n"/>
      <c r="F58" s="8" t="n"/>
      <c r="G58" s="8">
        <f>IF(OR(ISBLANK(E58),ISBLANK(F58)),"",IF(E58&gt;F58,"Local",IF(E58=F58,"Empate","Visitante")))</f>
        <v/>
      </c>
      <c r="H58" s="8">
        <f>IF(VLOOKUP(B58,PARTIDOS!$A:$I,9,FALSE)="Cerrado",IF(G58=VLOOKUP(B58,PARTIDOS!$A:$I,8,FALSE),IF(AND(E58=VLOOKUP(B58,PARTIDOS!$A:$I,6,FALSE),F58=VLOOKUP(B58,PARTIDOS!$A:$I,7,FALSE)),3,1),0),"")</f>
        <v/>
      </c>
    </row>
    <row r="59" ht="20.1" customHeight="1">
      <c r="A59" s="12" t="inlineStr">
        <is>
          <t>Jugador 1</t>
        </is>
      </c>
      <c r="B59" s="8" t="inlineStr">
        <is>
          <t>M58</t>
        </is>
      </c>
      <c r="C59" s="12" t="inlineStr">
        <is>
          <t>Australia</t>
        </is>
      </c>
      <c r="D59" s="12" t="inlineStr">
        <is>
          <t>Senegal</t>
        </is>
      </c>
      <c r="E59" s="8" t="n"/>
      <c r="F59" s="8" t="n"/>
      <c r="G59" s="8">
        <f>IF(OR(ISBLANK(E59),ISBLANK(F59)),"",IF(E59&gt;F59,"Local",IF(E59=F59,"Empate","Visitante")))</f>
        <v/>
      </c>
      <c r="H59" s="8">
        <f>IF(VLOOKUP(B59,PARTIDOS!$A:$I,9,FALSE)="Cerrado",IF(G59=VLOOKUP(B59,PARTIDOS!$A:$I,8,FALSE),IF(AND(E59=VLOOKUP(B59,PARTIDOS!$A:$I,6,FALSE),F59=VLOOKUP(B59,PARTIDOS!$A:$I,7,FALSE)),3,1),0),"")</f>
        <v/>
      </c>
    </row>
    <row r="60" ht="20.1" customHeight="1">
      <c r="A60" s="12" t="inlineStr">
        <is>
          <t>Jugador 1</t>
        </is>
      </c>
      <c r="B60" s="8" t="inlineStr">
        <is>
          <t>M59</t>
        </is>
      </c>
      <c r="C60" s="12" t="inlineStr">
        <is>
          <t>Corea del Sur</t>
        </is>
      </c>
      <c r="D60" s="12" t="inlineStr">
        <is>
          <t>Senegal</t>
        </is>
      </c>
      <c r="E60" s="8" t="n"/>
      <c r="F60" s="8" t="n"/>
      <c r="G60" s="8">
        <f>IF(OR(ISBLANK(E60),ISBLANK(F60)),"",IF(E60&gt;F60,"Local",IF(E60=F60,"Empate","Visitante")))</f>
        <v/>
      </c>
      <c r="H60" s="8">
        <f>IF(VLOOKUP(B60,PARTIDOS!$A:$I,9,FALSE)="Cerrado",IF(G60=VLOOKUP(B60,PARTIDOS!$A:$I,8,FALSE),IF(AND(E60=VLOOKUP(B60,PARTIDOS!$A:$I,6,FALSE),F60=VLOOKUP(B60,PARTIDOS!$A:$I,7,FALSE)),3,1),0),"")</f>
        <v/>
      </c>
    </row>
    <row r="61" ht="20.1" customHeight="1">
      <c r="A61" s="12" t="inlineStr">
        <is>
          <t>Jugador 1</t>
        </is>
      </c>
      <c r="B61" s="8" t="inlineStr">
        <is>
          <t>M60</t>
        </is>
      </c>
      <c r="C61" s="12" t="inlineStr">
        <is>
          <t>Australia</t>
        </is>
      </c>
      <c r="D61" s="12" t="inlineStr">
        <is>
          <t>Marruecos</t>
        </is>
      </c>
      <c r="E61" s="8" t="n"/>
      <c r="F61" s="8" t="n"/>
      <c r="G61" s="8">
        <f>IF(OR(ISBLANK(E61),ISBLANK(F61)),"",IF(E61&gt;F61,"Local",IF(E61=F61,"Empate","Visitante")))</f>
        <v/>
      </c>
      <c r="H61" s="8">
        <f>IF(VLOOKUP(B61,PARTIDOS!$A:$I,9,FALSE)="Cerrado",IF(G61=VLOOKUP(B61,PARTIDOS!$A:$I,8,FALSE),IF(AND(E61=VLOOKUP(B61,PARTIDOS!$A:$I,6,FALSE),F61=VLOOKUP(B61,PARTIDOS!$A:$I,7,FALSE)),3,1),0),"")</f>
        <v/>
      </c>
    </row>
    <row r="62" ht="20.1" customHeight="1">
      <c r="A62" s="12" t="inlineStr">
        <is>
          <t>Jugador 1</t>
        </is>
      </c>
      <c r="B62" s="8" t="inlineStr">
        <is>
          <t>M61</t>
        </is>
      </c>
      <c r="C62" s="12" t="inlineStr">
        <is>
          <t>Túnez</t>
        </is>
      </c>
      <c r="D62" s="12" t="inlineStr">
        <is>
          <t>Nigeria</t>
        </is>
      </c>
      <c r="E62" s="8" t="n"/>
      <c r="F62" s="8" t="n"/>
      <c r="G62" s="8">
        <f>IF(OR(ISBLANK(E62),ISBLANK(F62)),"",IF(E62&gt;F62,"Local",IF(E62=F62,"Empate","Visitante")))</f>
        <v/>
      </c>
      <c r="H62" s="8">
        <f>IF(VLOOKUP(B62,PARTIDOS!$A:$I,9,FALSE)="Cerrado",IF(G62=VLOOKUP(B62,PARTIDOS!$A:$I,8,FALSE),IF(AND(E62=VLOOKUP(B62,PARTIDOS!$A:$I,6,FALSE),F62=VLOOKUP(B62,PARTIDOS!$A:$I,7,FALSE)),3,1),0),"")</f>
        <v/>
      </c>
    </row>
    <row r="63" ht="20.1" customHeight="1">
      <c r="A63" s="12" t="inlineStr">
        <is>
          <t>Jugador 1</t>
        </is>
      </c>
      <c r="B63" s="8" t="inlineStr">
        <is>
          <t>M62</t>
        </is>
      </c>
      <c r="C63" s="12" t="inlineStr">
        <is>
          <t>Camerún</t>
        </is>
      </c>
      <c r="D63" s="12" t="inlineStr">
        <is>
          <t>Egipto</t>
        </is>
      </c>
      <c r="E63" s="8" t="n"/>
      <c r="F63" s="8" t="n"/>
      <c r="G63" s="8">
        <f>IF(OR(ISBLANK(E63),ISBLANK(F63)),"",IF(E63&gt;F63,"Local",IF(E63=F63,"Empate","Visitante")))</f>
        <v/>
      </c>
      <c r="H63" s="8">
        <f>IF(VLOOKUP(B63,PARTIDOS!$A:$I,9,FALSE)="Cerrado",IF(G63=VLOOKUP(B63,PARTIDOS!$A:$I,8,FALSE),IF(AND(E63=VLOOKUP(B63,PARTIDOS!$A:$I,6,FALSE),F63=VLOOKUP(B63,PARTIDOS!$A:$I,7,FALSE)),3,1),0),"")</f>
        <v/>
      </c>
    </row>
    <row r="64" ht="20.1" customHeight="1">
      <c r="A64" s="12" t="inlineStr">
        <is>
          <t>Jugador 1</t>
        </is>
      </c>
      <c r="B64" s="8" t="inlineStr">
        <is>
          <t>M63</t>
        </is>
      </c>
      <c r="C64" s="12" t="inlineStr">
        <is>
          <t>Túnez</t>
        </is>
      </c>
      <c r="D64" s="12" t="inlineStr">
        <is>
          <t>Camerún</t>
        </is>
      </c>
      <c r="E64" s="8" t="n"/>
      <c r="F64" s="8" t="n"/>
      <c r="G64" s="8">
        <f>IF(OR(ISBLANK(E64),ISBLANK(F64)),"",IF(E64&gt;F64,"Local",IF(E64=F64,"Empate","Visitante")))</f>
        <v/>
      </c>
      <c r="H64" s="8">
        <f>IF(VLOOKUP(B64,PARTIDOS!$A:$I,9,FALSE)="Cerrado",IF(G64=VLOOKUP(B64,PARTIDOS!$A:$I,8,FALSE),IF(AND(E64=VLOOKUP(B64,PARTIDOS!$A:$I,6,FALSE),F64=VLOOKUP(B64,PARTIDOS!$A:$I,7,FALSE)),3,1),0),"")</f>
        <v/>
      </c>
    </row>
    <row r="65" ht="20.1" customHeight="1">
      <c r="A65" s="12" t="inlineStr">
        <is>
          <t>Jugador 1</t>
        </is>
      </c>
      <c r="B65" s="8" t="inlineStr">
        <is>
          <t>M64</t>
        </is>
      </c>
      <c r="C65" s="12" t="inlineStr">
        <is>
          <t>Nigeria</t>
        </is>
      </c>
      <c r="D65" s="12" t="inlineStr">
        <is>
          <t>Egipto</t>
        </is>
      </c>
      <c r="E65" s="8" t="n"/>
      <c r="F65" s="8" t="n"/>
      <c r="G65" s="8">
        <f>IF(OR(ISBLANK(E65),ISBLANK(F65)),"",IF(E65&gt;F65,"Local",IF(E65=F65,"Empate","Visitante")))</f>
        <v/>
      </c>
      <c r="H65" s="8">
        <f>IF(VLOOKUP(B65,PARTIDOS!$A:$I,9,FALSE)="Cerrado",IF(G65=VLOOKUP(B65,PARTIDOS!$A:$I,8,FALSE),IF(AND(E65=VLOOKUP(B65,PARTIDOS!$A:$I,6,FALSE),F65=VLOOKUP(B65,PARTIDOS!$A:$I,7,FALSE)),3,1),0),"")</f>
        <v/>
      </c>
    </row>
    <row r="66" ht="20.1" customHeight="1">
      <c r="A66" s="12" t="inlineStr">
        <is>
          <t>Jugador 1</t>
        </is>
      </c>
      <c r="B66" s="8" t="inlineStr">
        <is>
          <t>M65</t>
        </is>
      </c>
      <c r="C66" s="12" t="inlineStr">
        <is>
          <t>Túnez</t>
        </is>
      </c>
      <c r="D66" s="12" t="inlineStr">
        <is>
          <t>Egipto</t>
        </is>
      </c>
      <c r="E66" s="8" t="n"/>
      <c r="F66" s="8" t="n"/>
      <c r="G66" s="8">
        <f>IF(OR(ISBLANK(E66),ISBLANK(F66)),"",IF(E66&gt;F66,"Local",IF(E66=F66,"Empate","Visitante")))</f>
        <v/>
      </c>
      <c r="H66" s="8">
        <f>IF(VLOOKUP(B66,PARTIDOS!$A:$I,9,FALSE)="Cerrado",IF(G66=VLOOKUP(B66,PARTIDOS!$A:$I,8,FALSE),IF(AND(E66=VLOOKUP(B66,PARTIDOS!$A:$I,6,FALSE),F66=VLOOKUP(B66,PARTIDOS!$A:$I,7,FALSE)),3,1),0),"")</f>
        <v/>
      </c>
    </row>
    <row r="67" ht="20.1" customHeight="1">
      <c r="A67" s="12" t="inlineStr">
        <is>
          <t>Jugador 1</t>
        </is>
      </c>
      <c r="B67" s="8" t="inlineStr">
        <is>
          <t>M66</t>
        </is>
      </c>
      <c r="C67" s="12" t="inlineStr">
        <is>
          <t>Nigeria</t>
        </is>
      </c>
      <c r="D67" s="12" t="inlineStr">
        <is>
          <t>Camerún</t>
        </is>
      </c>
      <c r="E67" s="8" t="n"/>
      <c r="F67" s="8" t="n"/>
      <c r="G67" s="8">
        <f>IF(OR(ISBLANK(E67),ISBLANK(F67)),"",IF(E67&gt;F67,"Local",IF(E67=F67,"Empate","Visitante")))</f>
        <v/>
      </c>
      <c r="H67" s="8">
        <f>IF(VLOOKUP(B67,PARTIDOS!$A:$I,9,FALSE)="Cerrado",IF(G67=VLOOKUP(B67,PARTIDOS!$A:$I,8,FALSE),IF(AND(E67=VLOOKUP(B67,PARTIDOS!$A:$I,6,FALSE),F67=VLOOKUP(B67,PARTIDOS!$A:$I,7,FALSE)),3,1),0),"")</f>
        <v/>
      </c>
    </row>
    <row r="68" ht="20.1" customHeight="1">
      <c r="A68" s="12" t="inlineStr">
        <is>
          <t>Jugador 1</t>
        </is>
      </c>
      <c r="B68" s="8" t="inlineStr">
        <is>
          <t>M67</t>
        </is>
      </c>
      <c r="C68" s="12" t="inlineStr">
        <is>
          <t>Costa de Marfil</t>
        </is>
      </c>
      <c r="D68" s="12" t="inlineStr">
        <is>
          <t>Sudáfrica</t>
        </is>
      </c>
      <c r="E68" s="8" t="n"/>
      <c r="F68" s="8" t="n"/>
      <c r="G68" s="8">
        <f>IF(OR(ISBLANK(E68),ISBLANK(F68)),"",IF(E68&gt;F68,"Local",IF(E68=F68,"Empate","Visitante")))</f>
        <v/>
      </c>
      <c r="H68" s="8">
        <f>IF(VLOOKUP(B68,PARTIDOS!$A:$I,9,FALSE)="Cerrado",IF(G68=VLOOKUP(B68,PARTIDOS!$A:$I,8,FALSE),IF(AND(E68=VLOOKUP(B68,PARTIDOS!$A:$I,6,FALSE),F68=VLOOKUP(B68,PARTIDOS!$A:$I,7,FALSE)),3,1),0),"")</f>
        <v/>
      </c>
    </row>
    <row r="69" ht="20.1" customHeight="1">
      <c r="A69" s="12" t="inlineStr">
        <is>
          <t>Jugador 1</t>
        </is>
      </c>
      <c r="B69" s="8" t="inlineStr">
        <is>
          <t>M68</t>
        </is>
      </c>
      <c r="C69" s="12" t="inlineStr">
        <is>
          <t>Panáma</t>
        </is>
      </c>
      <c r="D69" s="12" t="inlineStr">
        <is>
          <t>Nueva Zelanda</t>
        </is>
      </c>
      <c r="E69" s="8" t="n"/>
      <c r="F69" s="8" t="n"/>
      <c r="G69" s="8">
        <f>IF(OR(ISBLANK(E69),ISBLANK(F69)),"",IF(E69&gt;F69,"Local",IF(E69=F69,"Empate","Visitante")))</f>
        <v/>
      </c>
      <c r="H69" s="8">
        <f>IF(VLOOKUP(B69,PARTIDOS!$A:$I,9,FALSE)="Cerrado",IF(G69=VLOOKUP(B69,PARTIDOS!$A:$I,8,FALSE),IF(AND(E69=VLOOKUP(B69,PARTIDOS!$A:$I,6,FALSE),F69=VLOOKUP(B69,PARTIDOS!$A:$I,7,FALSE)),3,1),0),"")</f>
        <v/>
      </c>
    </row>
    <row r="70" ht="20.1" customHeight="1">
      <c r="A70" s="12" t="inlineStr">
        <is>
          <t>Jugador 1</t>
        </is>
      </c>
      <c r="B70" s="8" t="inlineStr">
        <is>
          <t>M69</t>
        </is>
      </c>
      <c r="C70" s="12" t="inlineStr">
        <is>
          <t>Costa de Marfil</t>
        </is>
      </c>
      <c r="D70" s="12" t="inlineStr">
        <is>
          <t>Panáma</t>
        </is>
      </c>
      <c r="E70" s="8" t="n"/>
      <c r="F70" s="8" t="n"/>
      <c r="G70" s="8">
        <f>IF(OR(ISBLANK(E70),ISBLANK(F70)),"",IF(E70&gt;F70,"Local",IF(E70=F70,"Empate","Visitante")))</f>
        <v/>
      </c>
      <c r="H70" s="8">
        <f>IF(VLOOKUP(B70,PARTIDOS!$A:$I,9,FALSE)="Cerrado",IF(G70=VLOOKUP(B70,PARTIDOS!$A:$I,8,FALSE),IF(AND(E70=VLOOKUP(B70,PARTIDOS!$A:$I,6,FALSE),F70=VLOOKUP(B70,PARTIDOS!$A:$I,7,FALSE)),3,1),0),"")</f>
        <v/>
      </c>
    </row>
    <row r="71" ht="20.1" customHeight="1">
      <c r="A71" s="12" t="inlineStr">
        <is>
          <t>Jugador 1</t>
        </is>
      </c>
      <c r="B71" s="8" t="inlineStr">
        <is>
          <t>M70</t>
        </is>
      </c>
      <c r="C71" s="12" t="inlineStr">
        <is>
          <t>Sudáfrica</t>
        </is>
      </c>
      <c r="D71" s="12" t="inlineStr">
        <is>
          <t>Nueva Zelanda</t>
        </is>
      </c>
      <c r="E71" s="8" t="n"/>
      <c r="F71" s="8" t="n"/>
      <c r="G71" s="8">
        <f>IF(OR(ISBLANK(E71),ISBLANK(F71)),"",IF(E71&gt;F71,"Local",IF(E71=F71,"Empate","Visitante")))</f>
        <v/>
      </c>
      <c r="H71" s="8">
        <f>IF(VLOOKUP(B71,PARTIDOS!$A:$I,9,FALSE)="Cerrado",IF(G71=VLOOKUP(B71,PARTIDOS!$A:$I,8,FALSE),IF(AND(E71=VLOOKUP(B71,PARTIDOS!$A:$I,6,FALSE),F71=VLOOKUP(B71,PARTIDOS!$A:$I,7,FALSE)),3,1),0),"")</f>
        <v/>
      </c>
    </row>
    <row r="72" ht="20.1" customHeight="1">
      <c r="A72" s="12" t="inlineStr">
        <is>
          <t>Jugador 1</t>
        </is>
      </c>
      <c r="B72" s="8" t="inlineStr">
        <is>
          <t>M71</t>
        </is>
      </c>
      <c r="C72" s="12" t="inlineStr">
        <is>
          <t>Costa de Marfil</t>
        </is>
      </c>
      <c r="D72" s="12" t="inlineStr">
        <is>
          <t>Nueva Zelanda</t>
        </is>
      </c>
      <c r="E72" s="8" t="n"/>
      <c r="F72" s="8" t="n"/>
      <c r="G72" s="8">
        <f>IF(OR(ISBLANK(E72),ISBLANK(F72)),"",IF(E72&gt;F72,"Local",IF(E72=F72,"Empate","Visitante")))</f>
        <v/>
      </c>
      <c r="H72" s="8">
        <f>IF(VLOOKUP(B72,PARTIDOS!$A:$I,9,FALSE)="Cerrado",IF(G72=VLOOKUP(B72,PARTIDOS!$A:$I,8,FALSE),IF(AND(E72=VLOOKUP(B72,PARTIDOS!$A:$I,6,FALSE),F72=VLOOKUP(B72,PARTIDOS!$A:$I,7,FALSE)),3,1),0),"")</f>
        <v/>
      </c>
    </row>
    <row r="73" ht="20.1" customHeight="1">
      <c r="A73" s="12" t="inlineStr">
        <is>
          <t>Jugador 1</t>
        </is>
      </c>
      <c r="B73" s="8" t="inlineStr">
        <is>
          <t>M72</t>
        </is>
      </c>
      <c r="C73" s="12" t="inlineStr">
        <is>
          <t>Sudáfrica</t>
        </is>
      </c>
      <c r="D73" s="12" t="inlineStr">
        <is>
          <t>Panáma</t>
        </is>
      </c>
      <c r="E73" s="8" t="n"/>
      <c r="F73" s="8" t="n"/>
      <c r="G73" s="8">
        <f>IF(OR(ISBLANK(E73),ISBLANK(F73)),"",IF(E73&gt;F73,"Local",IF(E73=F73,"Empate","Visitante")))</f>
        <v/>
      </c>
      <c r="H73" s="8">
        <f>IF(VLOOKUP(B73,PARTIDOS!$A:$I,9,FALSE)="Cerrado",IF(G73=VLOOKUP(B73,PARTIDOS!$A:$I,8,FALSE),IF(AND(E73=VLOOKUP(B73,PARTIDOS!$A:$I,6,FALSE),F73=VLOOKUP(B73,PARTIDOS!$A:$I,7,FALSE)),3,1),0),"")</f>
        <v/>
      </c>
    </row>
    <row r="74" ht="20.1" customHeight="1">
      <c r="A74" s="12" t="inlineStr">
        <is>
          <t>Jugador 2</t>
        </is>
      </c>
      <c r="B74" s="8" t="inlineStr">
        <is>
          <t>M01</t>
        </is>
      </c>
      <c r="C74" s="12" t="inlineStr">
        <is>
          <t>México</t>
        </is>
      </c>
      <c r="D74" s="12" t="inlineStr">
        <is>
          <t>EEUU</t>
        </is>
      </c>
      <c r="E74" s="8" t="n"/>
      <c r="F74" s="8" t="n"/>
      <c r="G74" s="8">
        <f>IF(OR(ISBLANK(E74),ISBLANK(F74)),"",IF(E74&gt;F74,"Local",IF(E74=F74,"Empate","Visitante")))</f>
        <v/>
      </c>
      <c r="H74" s="8">
        <f>IF(VLOOKUP(B74,PARTIDOS!$A:$I,9,FALSE)="Cerrado",IF(G74=VLOOKUP(B74,PARTIDOS!$A:$I,8,FALSE),IF(AND(E74=VLOOKUP(B74,PARTIDOS!$A:$I,6,FALSE),F74=VLOOKUP(B74,PARTIDOS!$A:$I,7,FALSE)),3,1),0),"")</f>
        <v/>
      </c>
    </row>
    <row r="75" ht="20.1" customHeight="1">
      <c r="A75" s="12" t="inlineStr">
        <is>
          <t>Jugador 2</t>
        </is>
      </c>
      <c r="B75" s="8" t="inlineStr">
        <is>
          <t>M02</t>
        </is>
      </c>
      <c r="C75" s="12" t="inlineStr">
        <is>
          <t>Canadá</t>
        </is>
      </c>
      <c r="D75" s="12" t="inlineStr">
        <is>
          <t>Jamaica</t>
        </is>
      </c>
      <c r="E75" s="8" t="n"/>
      <c r="F75" s="8" t="n"/>
      <c r="G75" s="8">
        <f>IF(OR(ISBLANK(E75),ISBLANK(F75)),"",IF(E75&gt;F75,"Local",IF(E75=F75,"Empate","Visitante")))</f>
        <v/>
      </c>
      <c r="H75" s="8">
        <f>IF(VLOOKUP(B75,PARTIDOS!$A:$I,9,FALSE)="Cerrado",IF(G75=VLOOKUP(B75,PARTIDOS!$A:$I,8,FALSE),IF(AND(E75=VLOOKUP(B75,PARTIDOS!$A:$I,6,FALSE),F75=VLOOKUP(B75,PARTIDOS!$A:$I,7,FALSE)),3,1),0),"")</f>
        <v/>
      </c>
    </row>
    <row r="76" ht="20.1" customHeight="1">
      <c r="A76" s="12" t="inlineStr">
        <is>
          <t>Jugador 2</t>
        </is>
      </c>
      <c r="B76" s="8" t="inlineStr">
        <is>
          <t>M03</t>
        </is>
      </c>
      <c r="C76" s="12" t="inlineStr">
        <is>
          <t>México</t>
        </is>
      </c>
      <c r="D76" s="12" t="inlineStr">
        <is>
          <t>Canadá</t>
        </is>
      </c>
      <c r="E76" s="8" t="n"/>
      <c r="F76" s="8" t="n"/>
      <c r="G76" s="8">
        <f>IF(OR(ISBLANK(E76),ISBLANK(F76)),"",IF(E76&gt;F76,"Local",IF(E76=F76,"Empate","Visitante")))</f>
        <v/>
      </c>
      <c r="H76" s="8">
        <f>IF(VLOOKUP(B76,PARTIDOS!$A:$I,9,FALSE)="Cerrado",IF(G76=VLOOKUP(B76,PARTIDOS!$A:$I,8,FALSE),IF(AND(E76=VLOOKUP(B76,PARTIDOS!$A:$I,6,FALSE),F76=VLOOKUP(B76,PARTIDOS!$A:$I,7,FALSE)),3,1),0),"")</f>
        <v/>
      </c>
    </row>
    <row r="77" ht="20.1" customHeight="1">
      <c r="A77" s="12" t="inlineStr">
        <is>
          <t>Jugador 2</t>
        </is>
      </c>
      <c r="B77" s="8" t="inlineStr">
        <is>
          <t>M04</t>
        </is>
      </c>
      <c r="C77" s="12" t="inlineStr">
        <is>
          <t>EEUU</t>
        </is>
      </c>
      <c r="D77" s="12" t="inlineStr">
        <is>
          <t>Jamaica</t>
        </is>
      </c>
      <c r="E77" s="8" t="n"/>
      <c r="F77" s="8" t="n"/>
      <c r="G77" s="8">
        <f>IF(OR(ISBLANK(E77),ISBLANK(F77)),"",IF(E77&gt;F77,"Local",IF(E77=F77,"Empate","Visitante")))</f>
        <v/>
      </c>
      <c r="H77" s="8">
        <f>IF(VLOOKUP(B77,PARTIDOS!$A:$I,9,FALSE)="Cerrado",IF(G77=VLOOKUP(B77,PARTIDOS!$A:$I,8,FALSE),IF(AND(E77=VLOOKUP(B77,PARTIDOS!$A:$I,6,FALSE),F77=VLOOKUP(B77,PARTIDOS!$A:$I,7,FALSE)),3,1),0),"")</f>
        <v/>
      </c>
    </row>
    <row r="78" ht="20.1" customHeight="1">
      <c r="A78" s="12" t="inlineStr">
        <is>
          <t>Jugador 2</t>
        </is>
      </c>
      <c r="B78" s="8" t="inlineStr">
        <is>
          <t>M05</t>
        </is>
      </c>
      <c r="C78" s="12" t="inlineStr">
        <is>
          <t>México</t>
        </is>
      </c>
      <c r="D78" s="12" t="inlineStr">
        <is>
          <t>Jamaica</t>
        </is>
      </c>
      <c r="E78" s="8" t="n"/>
      <c r="F78" s="8" t="n"/>
      <c r="G78" s="8">
        <f>IF(OR(ISBLANK(E78),ISBLANK(F78)),"",IF(E78&gt;F78,"Local",IF(E78=F78,"Empate","Visitante")))</f>
        <v/>
      </c>
      <c r="H78" s="8">
        <f>IF(VLOOKUP(B78,PARTIDOS!$A:$I,9,FALSE)="Cerrado",IF(G78=VLOOKUP(B78,PARTIDOS!$A:$I,8,FALSE),IF(AND(E78=VLOOKUP(B78,PARTIDOS!$A:$I,6,FALSE),F78=VLOOKUP(B78,PARTIDOS!$A:$I,7,FALSE)),3,1),0),"")</f>
        <v/>
      </c>
    </row>
    <row r="79" ht="20.1" customHeight="1">
      <c r="A79" s="12" t="inlineStr">
        <is>
          <t>Jugador 2</t>
        </is>
      </c>
      <c r="B79" s="8" t="inlineStr">
        <is>
          <t>M06</t>
        </is>
      </c>
      <c r="C79" s="12" t="inlineStr">
        <is>
          <t>EEUU</t>
        </is>
      </c>
      <c r="D79" s="12" t="inlineStr">
        <is>
          <t>Canadá</t>
        </is>
      </c>
      <c r="E79" s="8" t="n"/>
      <c r="F79" s="8" t="n"/>
      <c r="G79" s="8">
        <f>IF(OR(ISBLANK(E79),ISBLANK(F79)),"",IF(E79&gt;F79,"Local",IF(E79=F79,"Empate","Visitante")))</f>
        <v/>
      </c>
      <c r="H79" s="8">
        <f>IF(VLOOKUP(B79,PARTIDOS!$A:$I,9,FALSE)="Cerrado",IF(G79=VLOOKUP(B79,PARTIDOS!$A:$I,8,FALSE),IF(AND(E79=VLOOKUP(B79,PARTIDOS!$A:$I,6,FALSE),F79=VLOOKUP(B79,PARTIDOS!$A:$I,7,FALSE)),3,1),0),"")</f>
        <v/>
      </c>
    </row>
    <row r="80" ht="20.1" customHeight="1">
      <c r="A80" s="12" t="inlineStr">
        <is>
          <t>Jugador 2</t>
        </is>
      </c>
      <c r="B80" s="8" t="inlineStr">
        <is>
          <t>M07</t>
        </is>
      </c>
      <c r="C80" s="12" t="inlineStr">
        <is>
          <t>Argentina</t>
        </is>
      </c>
      <c r="D80" s="12" t="inlineStr">
        <is>
          <t>Brasil</t>
        </is>
      </c>
      <c r="E80" s="8" t="n"/>
      <c r="F80" s="8" t="n"/>
      <c r="G80" s="8">
        <f>IF(OR(ISBLANK(E80),ISBLANK(F80)),"",IF(E80&gt;F80,"Local",IF(E80=F80,"Empate","Visitante")))</f>
        <v/>
      </c>
      <c r="H80" s="8">
        <f>IF(VLOOKUP(B80,PARTIDOS!$A:$I,9,FALSE)="Cerrado",IF(G80=VLOOKUP(B80,PARTIDOS!$A:$I,8,FALSE),IF(AND(E80=VLOOKUP(B80,PARTIDOS!$A:$I,6,FALSE),F80=VLOOKUP(B80,PARTIDOS!$A:$I,7,FALSE)),3,1),0),"")</f>
        <v/>
      </c>
    </row>
    <row r="81" ht="20.1" customHeight="1">
      <c r="A81" s="12" t="inlineStr">
        <is>
          <t>Jugador 2</t>
        </is>
      </c>
      <c r="B81" s="8" t="inlineStr">
        <is>
          <t>M08</t>
        </is>
      </c>
      <c r="C81" s="12" t="inlineStr">
        <is>
          <t>Colombia</t>
        </is>
      </c>
      <c r="D81" s="12" t="inlineStr">
        <is>
          <t>Uruguay</t>
        </is>
      </c>
      <c r="E81" s="8" t="n"/>
      <c r="F81" s="8" t="n"/>
      <c r="G81" s="8">
        <f>IF(OR(ISBLANK(E81),ISBLANK(F81)),"",IF(E81&gt;F81,"Local",IF(E81=F81,"Empate","Visitante")))</f>
        <v/>
      </c>
      <c r="H81" s="8">
        <f>IF(VLOOKUP(B81,PARTIDOS!$A:$I,9,FALSE)="Cerrado",IF(G81=VLOOKUP(B81,PARTIDOS!$A:$I,8,FALSE),IF(AND(E81=VLOOKUP(B81,PARTIDOS!$A:$I,6,FALSE),F81=VLOOKUP(B81,PARTIDOS!$A:$I,7,FALSE)),3,1),0),"")</f>
        <v/>
      </c>
    </row>
    <row r="82" ht="20.1" customHeight="1">
      <c r="A82" s="12" t="inlineStr">
        <is>
          <t>Jugador 2</t>
        </is>
      </c>
      <c r="B82" s="8" t="inlineStr">
        <is>
          <t>M09</t>
        </is>
      </c>
      <c r="C82" s="12" t="inlineStr">
        <is>
          <t>Argentina</t>
        </is>
      </c>
      <c r="D82" s="12" t="inlineStr">
        <is>
          <t>Colombia</t>
        </is>
      </c>
      <c r="E82" s="8" t="n"/>
      <c r="F82" s="8" t="n"/>
      <c r="G82" s="8">
        <f>IF(OR(ISBLANK(E82),ISBLANK(F82)),"",IF(E82&gt;F82,"Local",IF(E82=F82,"Empate","Visitante")))</f>
        <v/>
      </c>
      <c r="H82" s="8">
        <f>IF(VLOOKUP(B82,PARTIDOS!$A:$I,9,FALSE)="Cerrado",IF(G82=VLOOKUP(B82,PARTIDOS!$A:$I,8,FALSE),IF(AND(E82=VLOOKUP(B82,PARTIDOS!$A:$I,6,FALSE),F82=VLOOKUP(B82,PARTIDOS!$A:$I,7,FALSE)),3,1),0),"")</f>
        <v/>
      </c>
    </row>
    <row r="83" ht="20.1" customHeight="1">
      <c r="A83" s="12" t="inlineStr">
        <is>
          <t>Jugador 2</t>
        </is>
      </c>
      <c r="B83" s="8" t="inlineStr">
        <is>
          <t>M10</t>
        </is>
      </c>
      <c r="C83" s="12" t="inlineStr">
        <is>
          <t>Brasil</t>
        </is>
      </c>
      <c r="D83" s="12" t="inlineStr">
        <is>
          <t>Uruguay</t>
        </is>
      </c>
      <c r="E83" s="8" t="n"/>
      <c r="F83" s="8" t="n"/>
      <c r="G83" s="8">
        <f>IF(OR(ISBLANK(E83),ISBLANK(F83)),"",IF(E83&gt;F83,"Local",IF(E83=F83,"Empate","Visitante")))</f>
        <v/>
      </c>
      <c r="H83" s="8">
        <f>IF(VLOOKUP(B83,PARTIDOS!$A:$I,9,FALSE)="Cerrado",IF(G83=VLOOKUP(B83,PARTIDOS!$A:$I,8,FALSE),IF(AND(E83=VLOOKUP(B83,PARTIDOS!$A:$I,6,FALSE),F83=VLOOKUP(B83,PARTIDOS!$A:$I,7,FALSE)),3,1),0),"")</f>
        <v/>
      </c>
    </row>
    <row r="84" ht="20.1" customHeight="1">
      <c r="A84" s="12" t="inlineStr">
        <is>
          <t>Jugador 2</t>
        </is>
      </c>
      <c r="B84" s="8" t="inlineStr">
        <is>
          <t>M11</t>
        </is>
      </c>
      <c r="C84" s="12" t="inlineStr">
        <is>
          <t>Argentina</t>
        </is>
      </c>
      <c r="D84" s="12" t="inlineStr">
        <is>
          <t>Uruguay</t>
        </is>
      </c>
      <c r="E84" s="8" t="n"/>
      <c r="F84" s="8" t="n"/>
      <c r="G84" s="8">
        <f>IF(OR(ISBLANK(E84),ISBLANK(F84)),"",IF(E84&gt;F84,"Local",IF(E84=F84,"Empate","Visitante")))</f>
        <v/>
      </c>
      <c r="H84" s="8">
        <f>IF(VLOOKUP(B84,PARTIDOS!$A:$I,9,FALSE)="Cerrado",IF(G84=VLOOKUP(B84,PARTIDOS!$A:$I,8,FALSE),IF(AND(E84=VLOOKUP(B84,PARTIDOS!$A:$I,6,FALSE),F84=VLOOKUP(B84,PARTIDOS!$A:$I,7,FALSE)),3,1),0),"")</f>
        <v/>
      </c>
    </row>
    <row r="85" ht="20.1" customHeight="1">
      <c r="A85" s="12" t="inlineStr">
        <is>
          <t>Jugador 2</t>
        </is>
      </c>
      <c r="B85" s="8" t="inlineStr">
        <is>
          <t>M12</t>
        </is>
      </c>
      <c r="C85" s="12" t="inlineStr">
        <is>
          <t>Brasil</t>
        </is>
      </c>
      <c r="D85" s="12" t="inlineStr">
        <is>
          <t>Colombia</t>
        </is>
      </c>
      <c r="E85" s="8" t="n"/>
      <c r="F85" s="8" t="n"/>
      <c r="G85" s="8">
        <f>IF(OR(ISBLANK(E85),ISBLANK(F85)),"",IF(E85&gt;F85,"Local",IF(E85=F85,"Empate","Visitante")))</f>
        <v/>
      </c>
      <c r="H85" s="8">
        <f>IF(VLOOKUP(B85,PARTIDOS!$A:$I,9,FALSE)="Cerrado",IF(G85=VLOOKUP(B85,PARTIDOS!$A:$I,8,FALSE),IF(AND(E85=VLOOKUP(B85,PARTIDOS!$A:$I,6,FALSE),F85=VLOOKUP(B85,PARTIDOS!$A:$I,7,FALSE)),3,1),0),"")</f>
        <v/>
      </c>
    </row>
    <row r="86" ht="20.1" customHeight="1">
      <c r="A86" s="12" t="inlineStr">
        <is>
          <t>Jugador 2</t>
        </is>
      </c>
      <c r="B86" s="8" t="inlineStr">
        <is>
          <t>M13</t>
        </is>
      </c>
      <c r="C86" s="12" t="inlineStr">
        <is>
          <t>Ecuador</t>
        </is>
      </c>
      <c r="D86" s="12" t="inlineStr">
        <is>
          <t>Perú</t>
        </is>
      </c>
      <c r="E86" s="8" t="n"/>
      <c r="F86" s="8" t="n"/>
      <c r="G86" s="8">
        <f>IF(OR(ISBLANK(E86),ISBLANK(F86)),"",IF(E86&gt;F86,"Local",IF(E86=F86,"Empate","Visitante")))</f>
        <v/>
      </c>
      <c r="H86" s="8">
        <f>IF(VLOOKUP(B86,PARTIDOS!$A:$I,9,FALSE)="Cerrado",IF(G86=VLOOKUP(B86,PARTIDOS!$A:$I,8,FALSE),IF(AND(E86=VLOOKUP(B86,PARTIDOS!$A:$I,6,FALSE),F86=VLOOKUP(B86,PARTIDOS!$A:$I,7,FALSE)),3,1),0),"")</f>
        <v/>
      </c>
    </row>
    <row r="87" ht="20.1" customHeight="1">
      <c r="A87" s="12" t="inlineStr">
        <is>
          <t>Jugador 2</t>
        </is>
      </c>
      <c r="B87" s="8" t="inlineStr">
        <is>
          <t>M14</t>
        </is>
      </c>
      <c r="C87" s="12" t="inlineStr">
        <is>
          <t>Chile</t>
        </is>
      </c>
      <c r="D87" s="12" t="inlineStr">
        <is>
          <t>Paraguay</t>
        </is>
      </c>
      <c r="E87" s="8" t="n"/>
      <c r="F87" s="8" t="n"/>
      <c r="G87" s="8">
        <f>IF(OR(ISBLANK(E87),ISBLANK(F87)),"",IF(E87&gt;F87,"Local",IF(E87=F87,"Empate","Visitante")))</f>
        <v/>
      </c>
      <c r="H87" s="8">
        <f>IF(VLOOKUP(B87,PARTIDOS!$A:$I,9,FALSE)="Cerrado",IF(G87=VLOOKUP(B87,PARTIDOS!$A:$I,8,FALSE),IF(AND(E87=VLOOKUP(B87,PARTIDOS!$A:$I,6,FALSE),F87=VLOOKUP(B87,PARTIDOS!$A:$I,7,FALSE)),3,1),0),"")</f>
        <v/>
      </c>
    </row>
    <row r="88" ht="20.1" customHeight="1">
      <c r="A88" s="12" t="inlineStr">
        <is>
          <t>Jugador 2</t>
        </is>
      </c>
      <c r="B88" s="8" t="inlineStr">
        <is>
          <t>M15</t>
        </is>
      </c>
      <c r="C88" s="12" t="inlineStr">
        <is>
          <t>Ecuador</t>
        </is>
      </c>
      <c r="D88" s="12" t="inlineStr">
        <is>
          <t>Chile</t>
        </is>
      </c>
      <c r="E88" s="8" t="n"/>
      <c r="F88" s="8" t="n"/>
      <c r="G88" s="8">
        <f>IF(OR(ISBLANK(E88),ISBLANK(F88)),"",IF(E88&gt;F88,"Local",IF(E88=F88,"Empate","Visitante")))</f>
        <v/>
      </c>
      <c r="H88" s="8">
        <f>IF(VLOOKUP(B88,PARTIDOS!$A:$I,9,FALSE)="Cerrado",IF(G88=VLOOKUP(B88,PARTIDOS!$A:$I,8,FALSE),IF(AND(E88=VLOOKUP(B88,PARTIDOS!$A:$I,6,FALSE),F88=VLOOKUP(B88,PARTIDOS!$A:$I,7,FALSE)),3,1),0),"")</f>
        <v/>
      </c>
    </row>
    <row r="89" ht="20.1" customHeight="1">
      <c r="A89" s="12" t="inlineStr">
        <is>
          <t>Jugador 2</t>
        </is>
      </c>
      <c r="B89" s="8" t="inlineStr">
        <is>
          <t>M16</t>
        </is>
      </c>
      <c r="C89" s="12" t="inlineStr">
        <is>
          <t>Perú</t>
        </is>
      </c>
      <c r="D89" s="12" t="inlineStr">
        <is>
          <t>Paraguay</t>
        </is>
      </c>
      <c r="E89" s="8" t="n"/>
      <c r="F89" s="8" t="n"/>
      <c r="G89" s="8">
        <f>IF(OR(ISBLANK(E89),ISBLANK(F89)),"",IF(E89&gt;F89,"Local",IF(E89=F89,"Empate","Visitante")))</f>
        <v/>
      </c>
      <c r="H89" s="8">
        <f>IF(VLOOKUP(B89,PARTIDOS!$A:$I,9,FALSE)="Cerrado",IF(G89=VLOOKUP(B89,PARTIDOS!$A:$I,8,FALSE),IF(AND(E89=VLOOKUP(B89,PARTIDOS!$A:$I,6,FALSE),F89=VLOOKUP(B89,PARTIDOS!$A:$I,7,FALSE)),3,1),0),"")</f>
        <v/>
      </c>
    </row>
    <row r="90" ht="20.1" customHeight="1">
      <c r="A90" s="12" t="inlineStr">
        <is>
          <t>Jugador 2</t>
        </is>
      </c>
      <c r="B90" s="8" t="inlineStr">
        <is>
          <t>M17</t>
        </is>
      </c>
      <c r="C90" s="12" t="inlineStr">
        <is>
          <t>Ecuador</t>
        </is>
      </c>
      <c r="D90" s="12" t="inlineStr">
        <is>
          <t>Paraguay</t>
        </is>
      </c>
      <c r="E90" s="8" t="n"/>
      <c r="F90" s="8" t="n"/>
      <c r="G90" s="8">
        <f>IF(OR(ISBLANK(E90),ISBLANK(F90)),"",IF(E90&gt;F90,"Local",IF(E90=F90,"Empate","Visitante")))</f>
        <v/>
      </c>
      <c r="H90" s="8">
        <f>IF(VLOOKUP(B90,PARTIDOS!$A:$I,9,FALSE)="Cerrado",IF(G90=VLOOKUP(B90,PARTIDOS!$A:$I,8,FALSE),IF(AND(E90=VLOOKUP(B90,PARTIDOS!$A:$I,6,FALSE),F90=VLOOKUP(B90,PARTIDOS!$A:$I,7,FALSE)),3,1),0),"")</f>
        <v/>
      </c>
    </row>
    <row r="91" ht="20.1" customHeight="1">
      <c r="A91" s="12" t="inlineStr">
        <is>
          <t>Jugador 2</t>
        </is>
      </c>
      <c r="B91" s="8" t="inlineStr">
        <is>
          <t>M18</t>
        </is>
      </c>
      <c r="C91" s="12" t="inlineStr">
        <is>
          <t>Perú</t>
        </is>
      </c>
      <c r="D91" s="12" t="inlineStr">
        <is>
          <t>Chile</t>
        </is>
      </c>
      <c r="E91" s="8" t="n"/>
      <c r="F91" s="8" t="n"/>
      <c r="G91" s="8">
        <f>IF(OR(ISBLANK(E91),ISBLANK(F91)),"",IF(E91&gt;F91,"Local",IF(E91=F91,"Empate","Visitante")))</f>
        <v/>
      </c>
      <c r="H91" s="8">
        <f>IF(VLOOKUP(B91,PARTIDOS!$A:$I,9,FALSE)="Cerrado",IF(G91=VLOOKUP(B91,PARTIDOS!$A:$I,8,FALSE),IF(AND(E91=VLOOKUP(B91,PARTIDOS!$A:$I,6,FALSE),F91=VLOOKUP(B91,PARTIDOS!$A:$I,7,FALSE)),3,1),0),"")</f>
        <v/>
      </c>
    </row>
    <row r="92" ht="20.1" customHeight="1">
      <c r="A92" s="12" t="inlineStr">
        <is>
          <t>Jugador 2</t>
        </is>
      </c>
      <c r="B92" s="8" t="inlineStr">
        <is>
          <t>M19</t>
        </is>
      </c>
      <c r="C92" s="12" t="inlineStr">
        <is>
          <t>España</t>
        </is>
      </c>
      <c r="D92" s="12" t="inlineStr">
        <is>
          <t>Francia</t>
        </is>
      </c>
      <c r="E92" s="8" t="n"/>
      <c r="F92" s="8" t="n"/>
      <c r="G92" s="8">
        <f>IF(OR(ISBLANK(E92),ISBLANK(F92)),"",IF(E92&gt;F92,"Local",IF(E92=F92,"Empate","Visitante")))</f>
        <v/>
      </c>
      <c r="H92" s="8">
        <f>IF(VLOOKUP(B92,PARTIDOS!$A:$I,9,FALSE)="Cerrado",IF(G92=VLOOKUP(B92,PARTIDOS!$A:$I,8,FALSE),IF(AND(E92=VLOOKUP(B92,PARTIDOS!$A:$I,6,FALSE),F92=VLOOKUP(B92,PARTIDOS!$A:$I,7,FALSE)),3,1),0),"")</f>
        <v/>
      </c>
    </row>
    <row r="93" ht="20.1" customHeight="1">
      <c r="A93" s="12" t="inlineStr">
        <is>
          <t>Jugador 2</t>
        </is>
      </c>
      <c r="B93" s="8" t="inlineStr">
        <is>
          <t>M20</t>
        </is>
      </c>
      <c r="C93" s="12" t="inlineStr">
        <is>
          <t>Inglaterra</t>
        </is>
      </c>
      <c r="D93" s="12" t="inlineStr">
        <is>
          <t>Alemania</t>
        </is>
      </c>
      <c r="E93" s="8" t="n"/>
      <c r="F93" s="8" t="n"/>
      <c r="G93" s="8">
        <f>IF(OR(ISBLANK(E93),ISBLANK(F93)),"",IF(E93&gt;F93,"Local",IF(E93=F93,"Empate","Visitante")))</f>
        <v/>
      </c>
      <c r="H93" s="8">
        <f>IF(VLOOKUP(B93,PARTIDOS!$A:$I,9,FALSE)="Cerrado",IF(G93=VLOOKUP(B93,PARTIDOS!$A:$I,8,FALSE),IF(AND(E93=VLOOKUP(B93,PARTIDOS!$A:$I,6,FALSE),F93=VLOOKUP(B93,PARTIDOS!$A:$I,7,FALSE)),3,1),0),"")</f>
        <v/>
      </c>
    </row>
    <row r="94" ht="20.1" customHeight="1">
      <c r="A94" s="12" t="inlineStr">
        <is>
          <t>Jugador 2</t>
        </is>
      </c>
      <c r="B94" s="8" t="inlineStr">
        <is>
          <t>M21</t>
        </is>
      </c>
      <c r="C94" s="12" t="inlineStr">
        <is>
          <t>España</t>
        </is>
      </c>
      <c r="D94" s="12" t="inlineStr">
        <is>
          <t>Inglaterra</t>
        </is>
      </c>
      <c r="E94" s="8" t="n"/>
      <c r="F94" s="8" t="n"/>
      <c r="G94" s="8">
        <f>IF(OR(ISBLANK(E94),ISBLANK(F94)),"",IF(E94&gt;F94,"Local",IF(E94=F94,"Empate","Visitante")))</f>
        <v/>
      </c>
      <c r="H94" s="8">
        <f>IF(VLOOKUP(B94,PARTIDOS!$A:$I,9,FALSE)="Cerrado",IF(G94=VLOOKUP(B94,PARTIDOS!$A:$I,8,FALSE),IF(AND(E94=VLOOKUP(B94,PARTIDOS!$A:$I,6,FALSE),F94=VLOOKUP(B94,PARTIDOS!$A:$I,7,FALSE)),3,1),0),"")</f>
        <v/>
      </c>
    </row>
    <row r="95" ht="20.1" customHeight="1">
      <c r="A95" s="12" t="inlineStr">
        <is>
          <t>Jugador 2</t>
        </is>
      </c>
      <c r="B95" s="8" t="inlineStr">
        <is>
          <t>M22</t>
        </is>
      </c>
      <c r="C95" s="12" t="inlineStr">
        <is>
          <t>Francia</t>
        </is>
      </c>
      <c r="D95" s="12" t="inlineStr">
        <is>
          <t>Alemania</t>
        </is>
      </c>
      <c r="E95" s="8" t="n"/>
      <c r="F95" s="8" t="n"/>
      <c r="G95" s="8">
        <f>IF(OR(ISBLANK(E95),ISBLANK(F95)),"",IF(E95&gt;F95,"Local",IF(E95=F95,"Empate","Visitante")))</f>
        <v/>
      </c>
      <c r="H95" s="8">
        <f>IF(VLOOKUP(B95,PARTIDOS!$A:$I,9,FALSE)="Cerrado",IF(G95=VLOOKUP(B95,PARTIDOS!$A:$I,8,FALSE),IF(AND(E95=VLOOKUP(B95,PARTIDOS!$A:$I,6,FALSE),F95=VLOOKUP(B95,PARTIDOS!$A:$I,7,FALSE)),3,1),0),"")</f>
        <v/>
      </c>
    </row>
    <row r="96" ht="20.1" customHeight="1">
      <c r="A96" s="12" t="inlineStr">
        <is>
          <t>Jugador 2</t>
        </is>
      </c>
      <c r="B96" s="8" t="inlineStr">
        <is>
          <t>M23</t>
        </is>
      </c>
      <c r="C96" s="12" t="inlineStr">
        <is>
          <t>España</t>
        </is>
      </c>
      <c r="D96" s="12" t="inlineStr">
        <is>
          <t>Alemania</t>
        </is>
      </c>
      <c r="E96" s="8" t="n"/>
      <c r="F96" s="8" t="n"/>
      <c r="G96" s="8">
        <f>IF(OR(ISBLANK(E96),ISBLANK(F96)),"",IF(E96&gt;F96,"Local",IF(E96=F96,"Empate","Visitante")))</f>
        <v/>
      </c>
      <c r="H96" s="8">
        <f>IF(VLOOKUP(B96,PARTIDOS!$A:$I,9,FALSE)="Cerrado",IF(G96=VLOOKUP(B96,PARTIDOS!$A:$I,8,FALSE),IF(AND(E96=VLOOKUP(B96,PARTIDOS!$A:$I,6,FALSE),F96=VLOOKUP(B96,PARTIDOS!$A:$I,7,FALSE)),3,1),0),"")</f>
        <v/>
      </c>
    </row>
    <row r="97" ht="20.1" customHeight="1">
      <c r="A97" s="12" t="inlineStr">
        <is>
          <t>Jugador 2</t>
        </is>
      </c>
      <c r="B97" s="8" t="inlineStr">
        <is>
          <t>M24</t>
        </is>
      </c>
      <c r="C97" s="12" t="inlineStr">
        <is>
          <t>Francia</t>
        </is>
      </c>
      <c r="D97" s="12" t="inlineStr">
        <is>
          <t>Inglaterra</t>
        </is>
      </c>
      <c r="E97" s="8" t="n"/>
      <c r="F97" s="8" t="n"/>
      <c r="G97" s="8">
        <f>IF(OR(ISBLANK(E97),ISBLANK(F97)),"",IF(E97&gt;F97,"Local",IF(E97=F97,"Empate","Visitante")))</f>
        <v/>
      </c>
      <c r="H97" s="8">
        <f>IF(VLOOKUP(B97,PARTIDOS!$A:$I,9,FALSE)="Cerrado",IF(G97=VLOOKUP(B97,PARTIDOS!$A:$I,8,FALSE),IF(AND(E97=VLOOKUP(B97,PARTIDOS!$A:$I,6,FALSE),F97=VLOOKUP(B97,PARTIDOS!$A:$I,7,FALSE)),3,1),0),"")</f>
        <v/>
      </c>
    </row>
    <row r="98" ht="20.1" customHeight="1">
      <c r="A98" s="12" t="inlineStr">
        <is>
          <t>Jugador 2</t>
        </is>
      </c>
      <c r="B98" s="8" t="inlineStr">
        <is>
          <t>M25</t>
        </is>
      </c>
      <c r="C98" s="12" t="inlineStr">
        <is>
          <t>Portugal</t>
        </is>
      </c>
      <c r="D98" s="12" t="inlineStr">
        <is>
          <t>Bélgica</t>
        </is>
      </c>
      <c r="E98" s="8" t="n"/>
      <c r="F98" s="8" t="n"/>
      <c r="G98" s="8">
        <f>IF(OR(ISBLANK(E98),ISBLANK(F98)),"",IF(E98&gt;F98,"Local",IF(E98=F98,"Empate","Visitante")))</f>
        <v/>
      </c>
      <c r="H98" s="8">
        <f>IF(VLOOKUP(B98,PARTIDOS!$A:$I,9,FALSE)="Cerrado",IF(G98=VLOOKUP(B98,PARTIDOS!$A:$I,8,FALSE),IF(AND(E98=VLOOKUP(B98,PARTIDOS!$A:$I,6,FALSE),F98=VLOOKUP(B98,PARTIDOS!$A:$I,7,FALSE)),3,1),0),"")</f>
        <v/>
      </c>
    </row>
    <row r="99" ht="20.1" customHeight="1">
      <c r="A99" s="12" t="inlineStr">
        <is>
          <t>Jugador 2</t>
        </is>
      </c>
      <c r="B99" s="8" t="inlineStr">
        <is>
          <t>M26</t>
        </is>
      </c>
      <c r="C99" s="12" t="inlineStr">
        <is>
          <t>Países Bajos</t>
        </is>
      </c>
      <c r="D99" s="12" t="inlineStr">
        <is>
          <t>Italia</t>
        </is>
      </c>
      <c r="E99" s="8" t="n"/>
      <c r="F99" s="8" t="n"/>
      <c r="G99" s="8">
        <f>IF(OR(ISBLANK(E99),ISBLANK(F99)),"",IF(E99&gt;F99,"Local",IF(E99=F99,"Empate","Visitante")))</f>
        <v/>
      </c>
      <c r="H99" s="8">
        <f>IF(VLOOKUP(B99,PARTIDOS!$A:$I,9,FALSE)="Cerrado",IF(G99=VLOOKUP(B99,PARTIDOS!$A:$I,8,FALSE),IF(AND(E99=VLOOKUP(B99,PARTIDOS!$A:$I,6,FALSE),F99=VLOOKUP(B99,PARTIDOS!$A:$I,7,FALSE)),3,1),0),"")</f>
        <v/>
      </c>
    </row>
    <row r="100" ht="20.1" customHeight="1">
      <c r="A100" s="12" t="inlineStr">
        <is>
          <t>Jugador 2</t>
        </is>
      </c>
      <c r="B100" s="8" t="inlineStr">
        <is>
          <t>M27</t>
        </is>
      </c>
      <c r="C100" s="12" t="inlineStr">
        <is>
          <t>Portugal</t>
        </is>
      </c>
      <c r="D100" s="12" t="inlineStr">
        <is>
          <t>Países Bajos</t>
        </is>
      </c>
      <c r="E100" s="8" t="n"/>
      <c r="F100" s="8" t="n"/>
      <c r="G100" s="8">
        <f>IF(OR(ISBLANK(E100),ISBLANK(F100)),"",IF(E100&gt;F100,"Local",IF(E100=F100,"Empate","Visitante")))</f>
        <v/>
      </c>
      <c r="H100" s="8">
        <f>IF(VLOOKUP(B100,PARTIDOS!$A:$I,9,FALSE)="Cerrado",IF(G100=VLOOKUP(B100,PARTIDOS!$A:$I,8,FALSE),IF(AND(E100=VLOOKUP(B100,PARTIDOS!$A:$I,6,FALSE),F100=VLOOKUP(B100,PARTIDOS!$A:$I,7,FALSE)),3,1),0),"")</f>
        <v/>
      </c>
    </row>
    <row r="101" ht="20.1" customHeight="1">
      <c r="A101" s="12" t="inlineStr">
        <is>
          <t>Jugador 2</t>
        </is>
      </c>
      <c r="B101" s="8" t="inlineStr">
        <is>
          <t>M28</t>
        </is>
      </c>
      <c r="C101" s="12" t="inlineStr">
        <is>
          <t>Bélgica</t>
        </is>
      </c>
      <c r="D101" s="12" t="inlineStr">
        <is>
          <t>Italia</t>
        </is>
      </c>
      <c r="E101" s="8" t="n"/>
      <c r="F101" s="8" t="n"/>
      <c r="G101" s="8">
        <f>IF(OR(ISBLANK(E101),ISBLANK(F101)),"",IF(E101&gt;F101,"Local",IF(E101=F101,"Empate","Visitante")))</f>
        <v/>
      </c>
      <c r="H101" s="8">
        <f>IF(VLOOKUP(B101,PARTIDOS!$A:$I,9,FALSE)="Cerrado",IF(G101=VLOOKUP(B101,PARTIDOS!$A:$I,8,FALSE),IF(AND(E101=VLOOKUP(B101,PARTIDOS!$A:$I,6,FALSE),F101=VLOOKUP(B101,PARTIDOS!$A:$I,7,FALSE)),3,1),0),"")</f>
        <v/>
      </c>
    </row>
    <row r="102" ht="20.1" customHeight="1">
      <c r="A102" s="12" t="inlineStr">
        <is>
          <t>Jugador 2</t>
        </is>
      </c>
      <c r="B102" s="8" t="inlineStr">
        <is>
          <t>M29</t>
        </is>
      </c>
      <c r="C102" s="12" t="inlineStr">
        <is>
          <t>Portugal</t>
        </is>
      </c>
      <c r="D102" s="12" t="inlineStr">
        <is>
          <t>Italia</t>
        </is>
      </c>
      <c r="E102" s="8" t="n"/>
      <c r="F102" s="8" t="n"/>
      <c r="G102" s="8">
        <f>IF(OR(ISBLANK(E102),ISBLANK(F102)),"",IF(E102&gt;F102,"Local",IF(E102=F102,"Empate","Visitante")))</f>
        <v/>
      </c>
      <c r="H102" s="8">
        <f>IF(VLOOKUP(B102,PARTIDOS!$A:$I,9,FALSE)="Cerrado",IF(G102=VLOOKUP(B102,PARTIDOS!$A:$I,8,FALSE),IF(AND(E102=VLOOKUP(B102,PARTIDOS!$A:$I,6,FALSE),F102=VLOOKUP(B102,PARTIDOS!$A:$I,7,FALSE)),3,1),0),"")</f>
        <v/>
      </c>
    </row>
    <row r="103" ht="20.1" customHeight="1">
      <c r="A103" s="12" t="inlineStr">
        <is>
          <t>Jugador 2</t>
        </is>
      </c>
      <c r="B103" s="8" t="inlineStr">
        <is>
          <t>M30</t>
        </is>
      </c>
      <c r="C103" s="12" t="inlineStr">
        <is>
          <t>Bélgica</t>
        </is>
      </c>
      <c r="D103" s="12" t="inlineStr">
        <is>
          <t>Países Bajos</t>
        </is>
      </c>
      <c r="E103" s="8" t="n"/>
      <c r="F103" s="8" t="n"/>
      <c r="G103" s="8">
        <f>IF(OR(ISBLANK(E103),ISBLANK(F103)),"",IF(E103&gt;F103,"Local",IF(E103=F103,"Empate","Visitante")))</f>
        <v/>
      </c>
      <c r="H103" s="8">
        <f>IF(VLOOKUP(B103,PARTIDOS!$A:$I,9,FALSE)="Cerrado",IF(G103=VLOOKUP(B103,PARTIDOS!$A:$I,8,FALSE),IF(AND(E103=VLOOKUP(B103,PARTIDOS!$A:$I,6,FALSE),F103=VLOOKUP(B103,PARTIDOS!$A:$I,7,FALSE)),3,1),0),"")</f>
        <v/>
      </c>
    </row>
    <row r="104" ht="20.1" customHeight="1">
      <c r="A104" s="12" t="inlineStr">
        <is>
          <t>Jugador 2</t>
        </is>
      </c>
      <c r="B104" s="8" t="inlineStr">
        <is>
          <t>M31</t>
        </is>
      </c>
      <c r="C104" s="12" t="inlineStr">
        <is>
          <t>Croacia</t>
        </is>
      </c>
      <c r="D104" s="12" t="inlineStr">
        <is>
          <t>Suiza</t>
        </is>
      </c>
      <c r="E104" s="8" t="n"/>
      <c r="F104" s="8" t="n"/>
      <c r="G104" s="8">
        <f>IF(OR(ISBLANK(E104),ISBLANK(F104)),"",IF(E104&gt;F104,"Local",IF(E104=F104,"Empate","Visitante")))</f>
        <v/>
      </c>
      <c r="H104" s="8">
        <f>IF(VLOOKUP(B104,PARTIDOS!$A:$I,9,FALSE)="Cerrado",IF(G104=VLOOKUP(B104,PARTIDOS!$A:$I,8,FALSE),IF(AND(E104=VLOOKUP(B104,PARTIDOS!$A:$I,6,FALSE),F104=VLOOKUP(B104,PARTIDOS!$A:$I,7,FALSE)),3,1),0),"")</f>
        <v/>
      </c>
    </row>
    <row r="105" ht="20.1" customHeight="1">
      <c r="A105" s="12" t="inlineStr">
        <is>
          <t>Jugador 2</t>
        </is>
      </c>
      <c r="B105" s="8" t="inlineStr">
        <is>
          <t>M32</t>
        </is>
      </c>
      <c r="C105" s="12" t="inlineStr">
        <is>
          <t>Dinamarca</t>
        </is>
      </c>
      <c r="D105" s="12" t="inlineStr">
        <is>
          <t>Serbia</t>
        </is>
      </c>
      <c r="E105" s="8" t="n"/>
      <c r="F105" s="8" t="n"/>
      <c r="G105" s="8">
        <f>IF(OR(ISBLANK(E105),ISBLANK(F105)),"",IF(E105&gt;F105,"Local",IF(E105=F105,"Empate","Visitante")))</f>
        <v/>
      </c>
      <c r="H105" s="8">
        <f>IF(VLOOKUP(B105,PARTIDOS!$A:$I,9,FALSE)="Cerrado",IF(G105=VLOOKUP(B105,PARTIDOS!$A:$I,8,FALSE),IF(AND(E105=VLOOKUP(B105,PARTIDOS!$A:$I,6,FALSE),F105=VLOOKUP(B105,PARTIDOS!$A:$I,7,FALSE)),3,1),0),"")</f>
        <v/>
      </c>
    </row>
    <row r="106" ht="20.1" customHeight="1">
      <c r="A106" s="12" t="inlineStr">
        <is>
          <t>Jugador 2</t>
        </is>
      </c>
      <c r="B106" s="8" t="inlineStr">
        <is>
          <t>M33</t>
        </is>
      </c>
      <c r="C106" s="12" t="inlineStr">
        <is>
          <t>Croacia</t>
        </is>
      </c>
      <c r="D106" s="12" t="inlineStr">
        <is>
          <t>Dinamarca</t>
        </is>
      </c>
      <c r="E106" s="8" t="n"/>
      <c r="F106" s="8" t="n"/>
      <c r="G106" s="8">
        <f>IF(OR(ISBLANK(E106),ISBLANK(F106)),"",IF(E106&gt;F106,"Local",IF(E106=F106,"Empate","Visitante")))</f>
        <v/>
      </c>
      <c r="H106" s="8">
        <f>IF(VLOOKUP(B106,PARTIDOS!$A:$I,9,FALSE)="Cerrado",IF(G106=VLOOKUP(B106,PARTIDOS!$A:$I,8,FALSE),IF(AND(E106=VLOOKUP(B106,PARTIDOS!$A:$I,6,FALSE),F106=VLOOKUP(B106,PARTIDOS!$A:$I,7,FALSE)),3,1),0),"")</f>
        <v/>
      </c>
    </row>
    <row r="107" ht="20.1" customHeight="1">
      <c r="A107" s="12" t="inlineStr">
        <is>
          <t>Jugador 2</t>
        </is>
      </c>
      <c r="B107" s="8" t="inlineStr">
        <is>
          <t>M34</t>
        </is>
      </c>
      <c r="C107" s="12" t="inlineStr">
        <is>
          <t>Suiza</t>
        </is>
      </c>
      <c r="D107" s="12" t="inlineStr">
        <is>
          <t>Serbia</t>
        </is>
      </c>
      <c r="E107" s="8" t="n"/>
      <c r="F107" s="8" t="n"/>
      <c r="G107" s="8">
        <f>IF(OR(ISBLANK(E107),ISBLANK(F107)),"",IF(E107&gt;F107,"Local",IF(E107=F107,"Empate","Visitante")))</f>
        <v/>
      </c>
      <c r="H107" s="8">
        <f>IF(VLOOKUP(B107,PARTIDOS!$A:$I,9,FALSE)="Cerrado",IF(G107=VLOOKUP(B107,PARTIDOS!$A:$I,8,FALSE),IF(AND(E107=VLOOKUP(B107,PARTIDOS!$A:$I,6,FALSE),F107=VLOOKUP(B107,PARTIDOS!$A:$I,7,FALSE)),3,1),0),"")</f>
        <v/>
      </c>
    </row>
    <row r="108" ht="20.1" customHeight="1">
      <c r="A108" s="12" t="inlineStr">
        <is>
          <t>Jugador 2</t>
        </is>
      </c>
      <c r="B108" s="8" t="inlineStr">
        <is>
          <t>M35</t>
        </is>
      </c>
      <c r="C108" s="12" t="inlineStr">
        <is>
          <t>Croacia</t>
        </is>
      </c>
      <c r="D108" s="12" t="inlineStr">
        <is>
          <t>Serbia</t>
        </is>
      </c>
      <c r="E108" s="8" t="n"/>
      <c r="F108" s="8" t="n"/>
      <c r="G108" s="8">
        <f>IF(OR(ISBLANK(E108),ISBLANK(F108)),"",IF(E108&gt;F108,"Local",IF(E108=F108,"Empate","Visitante")))</f>
        <v/>
      </c>
      <c r="H108" s="8">
        <f>IF(VLOOKUP(B108,PARTIDOS!$A:$I,9,FALSE)="Cerrado",IF(G108=VLOOKUP(B108,PARTIDOS!$A:$I,8,FALSE),IF(AND(E108=VLOOKUP(B108,PARTIDOS!$A:$I,6,FALSE),F108=VLOOKUP(B108,PARTIDOS!$A:$I,7,FALSE)),3,1),0),"")</f>
        <v/>
      </c>
    </row>
    <row r="109" ht="20.1" customHeight="1">
      <c r="A109" s="12" t="inlineStr">
        <is>
          <t>Jugador 2</t>
        </is>
      </c>
      <c r="B109" s="8" t="inlineStr">
        <is>
          <t>M36</t>
        </is>
      </c>
      <c r="C109" s="12" t="inlineStr">
        <is>
          <t>Suiza</t>
        </is>
      </c>
      <c r="D109" s="12" t="inlineStr">
        <is>
          <t>Dinamarca</t>
        </is>
      </c>
      <c r="E109" s="8" t="n"/>
      <c r="F109" s="8" t="n"/>
      <c r="G109" s="8">
        <f>IF(OR(ISBLANK(E109),ISBLANK(F109)),"",IF(E109&gt;F109,"Local",IF(E109=F109,"Empate","Visitante")))</f>
        <v/>
      </c>
      <c r="H109" s="8">
        <f>IF(VLOOKUP(B109,PARTIDOS!$A:$I,9,FALSE)="Cerrado",IF(G109=VLOOKUP(B109,PARTIDOS!$A:$I,8,FALSE),IF(AND(E109=VLOOKUP(B109,PARTIDOS!$A:$I,6,FALSE),F109=VLOOKUP(B109,PARTIDOS!$A:$I,7,FALSE)),3,1),0),"")</f>
        <v/>
      </c>
    </row>
    <row r="110" ht="20.1" customHeight="1">
      <c r="A110" s="12" t="inlineStr">
        <is>
          <t>Jugador 2</t>
        </is>
      </c>
      <c r="B110" s="8" t="inlineStr">
        <is>
          <t>M37</t>
        </is>
      </c>
      <c r="C110" s="12" t="inlineStr">
        <is>
          <t>Polonia</t>
        </is>
      </c>
      <c r="D110" s="12" t="inlineStr">
        <is>
          <t>Ucrania</t>
        </is>
      </c>
      <c r="E110" s="8" t="n"/>
      <c r="F110" s="8" t="n"/>
      <c r="G110" s="8">
        <f>IF(OR(ISBLANK(E110),ISBLANK(F110)),"",IF(E110&gt;F110,"Local",IF(E110=F110,"Empate","Visitante")))</f>
        <v/>
      </c>
      <c r="H110" s="8">
        <f>IF(VLOOKUP(B110,PARTIDOS!$A:$I,9,FALSE)="Cerrado",IF(G110=VLOOKUP(B110,PARTIDOS!$A:$I,8,FALSE),IF(AND(E110=VLOOKUP(B110,PARTIDOS!$A:$I,6,FALSE),F110=VLOOKUP(B110,PARTIDOS!$A:$I,7,FALSE)),3,1),0),"")</f>
        <v/>
      </c>
    </row>
    <row r="111" ht="20.1" customHeight="1">
      <c r="A111" s="12" t="inlineStr">
        <is>
          <t>Jugador 2</t>
        </is>
      </c>
      <c r="B111" s="8" t="inlineStr">
        <is>
          <t>M38</t>
        </is>
      </c>
      <c r="C111" s="12" t="inlineStr">
        <is>
          <t>Suecia</t>
        </is>
      </c>
      <c r="D111" s="12" t="inlineStr">
        <is>
          <t>Gales</t>
        </is>
      </c>
      <c r="E111" s="8" t="n"/>
      <c r="F111" s="8" t="n"/>
      <c r="G111" s="8">
        <f>IF(OR(ISBLANK(E111),ISBLANK(F111)),"",IF(E111&gt;F111,"Local",IF(E111=F111,"Empate","Visitante")))</f>
        <v/>
      </c>
      <c r="H111" s="8">
        <f>IF(VLOOKUP(B111,PARTIDOS!$A:$I,9,FALSE)="Cerrado",IF(G111=VLOOKUP(B111,PARTIDOS!$A:$I,8,FALSE),IF(AND(E111=VLOOKUP(B111,PARTIDOS!$A:$I,6,FALSE),F111=VLOOKUP(B111,PARTIDOS!$A:$I,7,FALSE)),3,1),0),"")</f>
        <v/>
      </c>
    </row>
    <row r="112" ht="20.1" customHeight="1">
      <c r="A112" s="12" t="inlineStr">
        <is>
          <t>Jugador 2</t>
        </is>
      </c>
      <c r="B112" s="8" t="inlineStr">
        <is>
          <t>M39</t>
        </is>
      </c>
      <c r="C112" s="12" t="inlineStr">
        <is>
          <t>Polonia</t>
        </is>
      </c>
      <c r="D112" s="12" t="inlineStr">
        <is>
          <t>Suecia</t>
        </is>
      </c>
      <c r="E112" s="8" t="n"/>
      <c r="F112" s="8" t="n"/>
      <c r="G112" s="8">
        <f>IF(OR(ISBLANK(E112),ISBLANK(F112)),"",IF(E112&gt;F112,"Local",IF(E112=F112,"Empate","Visitante")))</f>
        <v/>
      </c>
      <c r="H112" s="8">
        <f>IF(VLOOKUP(B112,PARTIDOS!$A:$I,9,FALSE)="Cerrado",IF(G112=VLOOKUP(B112,PARTIDOS!$A:$I,8,FALSE),IF(AND(E112=VLOOKUP(B112,PARTIDOS!$A:$I,6,FALSE),F112=VLOOKUP(B112,PARTIDOS!$A:$I,7,FALSE)),3,1),0),"")</f>
        <v/>
      </c>
    </row>
    <row r="113" ht="20.1" customHeight="1">
      <c r="A113" s="12" t="inlineStr">
        <is>
          <t>Jugador 2</t>
        </is>
      </c>
      <c r="B113" s="8" t="inlineStr">
        <is>
          <t>M40</t>
        </is>
      </c>
      <c r="C113" s="12" t="inlineStr">
        <is>
          <t>Ucrania</t>
        </is>
      </c>
      <c r="D113" s="12" t="inlineStr">
        <is>
          <t>Gales</t>
        </is>
      </c>
      <c r="E113" s="8" t="n"/>
      <c r="F113" s="8" t="n"/>
      <c r="G113" s="8">
        <f>IF(OR(ISBLANK(E113),ISBLANK(F113)),"",IF(E113&gt;F113,"Local",IF(E113=F113,"Empate","Visitante")))</f>
        <v/>
      </c>
      <c r="H113" s="8">
        <f>IF(VLOOKUP(B113,PARTIDOS!$A:$I,9,FALSE)="Cerrado",IF(G113=VLOOKUP(B113,PARTIDOS!$A:$I,8,FALSE),IF(AND(E113=VLOOKUP(B113,PARTIDOS!$A:$I,6,FALSE),F113=VLOOKUP(B113,PARTIDOS!$A:$I,7,FALSE)),3,1),0),"")</f>
        <v/>
      </c>
    </row>
    <row r="114" ht="20.1" customHeight="1">
      <c r="A114" s="12" t="inlineStr">
        <is>
          <t>Jugador 2</t>
        </is>
      </c>
      <c r="B114" s="8" t="inlineStr">
        <is>
          <t>M41</t>
        </is>
      </c>
      <c r="C114" s="12" t="inlineStr">
        <is>
          <t>Polonia</t>
        </is>
      </c>
      <c r="D114" s="12" t="inlineStr">
        <is>
          <t>Gales</t>
        </is>
      </c>
      <c r="E114" s="8" t="n"/>
      <c r="F114" s="8" t="n"/>
      <c r="G114" s="8">
        <f>IF(OR(ISBLANK(E114),ISBLANK(F114)),"",IF(E114&gt;F114,"Local",IF(E114=F114,"Empate","Visitante")))</f>
        <v/>
      </c>
      <c r="H114" s="8">
        <f>IF(VLOOKUP(B114,PARTIDOS!$A:$I,9,FALSE)="Cerrado",IF(G114=VLOOKUP(B114,PARTIDOS!$A:$I,8,FALSE),IF(AND(E114=VLOOKUP(B114,PARTIDOS!$A:$I,6,FALSE),F114=VLOOKUP(B114,PARTIDOS!$A:$I,7,FALSE)),3,1),0),"")</f>
        <v/>
      </c>
    </row>
    <row r="115" ht="20.1" customHeight="1">
      <c r="A115" s="12" t="inlineStr">
        <is>
          <t>Jugador 2</t>
        </is>
      </c>
      <c r="B115" s="8" t="inlineStr">
        <is>
          <t>M42</t>
        </is>
      </c>
      <c r="C115" s="12" t="inlineStr">
        <is>
          <t>Ucrania</t>
        </is>
      </c>
      <c r="D115" s="12" t="inlineStr">
        <is>
          <t>Suecia</t>
        </is>
      </c>
      <c r="E115" s="8" t="n"/>
      <c r="F115" s="8" t="n"/>
      <c r="G115" s="8">
        <f>IF(OR(ISBLANK(E115),ISBLANK(F115)),"",IF(E115&gt;F115,"Local",IF(E115=F115,"Empate","Visitante")))</f>
        <v/>
      </c>
      <c r="H115" s="8">
        <f>IF(VLOOKUP(B115,PARTIDOS!$A:$I,9,FALSE)="Cerrado",IF(G115=VLOOKUP(B115,PARTIDOS!$A:$I,8,FALSE),IF(AND(E115=VLOOKUP(B115,PARTIDOS!$A:$I,6,FALSE),F115=VLOOKUP(B115,PARTIDOS!$A:$I,7,FALSE)),3,1),0),"")</f>
        <v/>
      </c>
    </row>
    <row r="116" ht="20.1" customHeight="1">
      <c r="A116" s="12" t="inlineStr">
        <is>
          <t>Jugador 2</t>
        </is>
      </c>
      <c r="B116" s="8" t="inlineStr">
        <is>
          <t>M43</t>
        </is>
      </c>
      <c r="C116" s="12" t="inlineStr">
        <is>
          <t>Austria</t>
        </is>
      </c>
      <c r="D116" s="12" t="inlineStr">
        <is>
          <t>Hungría</t>
        </is>
      </c>
      <c r="E116" s="8" t="n"/>
      <c r="F116" s="8" t="n"/>
      <c r="G116" s="8">
        <f>IF(OR(ISBLANK(E116),ISBLANK(F116)),"",IF(E116&gt;F116,"Local",IF(E116=F116,"Empate","Visitante")))</f>
        <v/>
      </c>
      <c r="H116" s="8">
        <f>IF(VLOOKUP(B116,PARTIDOS!$A:$I,9,FALSE)="Cerrado",IF(G116=VLOOKUP(B116,PARTIDOS!$A:$I,8,FALSE),IF(AND(E116=VLOOKUP(B116,PARTIDOS!$A:$I,6,FALSE),F116=VLOOKUP(B116,PARTIDOS!$A:$I,7,FALSE)),3,1),0),"")</f>
        <v/>
      </c>
    </row>
    <row r="117" ht="20.1" customHeight="1">
      <c r="A117" s="12" t="inlineStr">
        <is>
          <t>Jugador 2</t>
        </is>
      </c>
      <c r="B117" s="8" t="inlineStr">
        <is>
          <t>M44</t>
        </is>
      </c>
      <c r="C117" s="12" t="inlineStr">
        <is>
          <t>Turquía</t>
        </is>
      </c>
      <c r="D117" s="12" t="inlineStr">
        <is>
          <t>Escocia</t>
        </is>
      </c>
      <c r="E117" s="8" t="n"/>
      <c r="F117" s="8" t="n"/>
      <c r="G117" s="8">
        <f>IF(OR(ISBLANK(E117),ISBLANK(F117)),"",IF(E117&gt;F117,"Local",IF(E117=F117,"Empate","Visitante")))</f>
        <v/>
      </c>
      <c r="H117" s="8">
        <f>IF(VLOOKUP(B117,PARTIDOS!$A:$I,9,FALSE)="Cerrado",IF(G117=VLOOKUP(B117,PARTIDOS!$A:$I,8,FALSE),IF(AND(E117=VLOOKUP(B117,PARTIDOS!$A:$I,6,FALSE),F117=VLOOKUP(B117,PARTIDOS!$A:$I,7,FALSE)),3,1),0),"")</f>
        <v/>
      </c>
    </row>
    <row r="118" ht="20.1" customHeight="1">
      <c r="A118" s="12" t="inlineStr">
        <is>
          <t>Jugador 2</t>
        </is>
      </c>
      <c r="B118" s="8" t="inlineStr">
        <is>
          <t>M45</t>
        </is>
      </c>
      <c r="C118" s="12" t="inlineStr">
        <is>
          <t>Austria</t>
        </is>
      </c>
      <c r="D118" s="12" t="inlineStr">
        <is>
          <t>Turquía</t>
        </is>
      </c>
      <c r="E118" s="8" t="n"/>
      <c r="F118" s="8" t="n"/>
      <c r="G118" s="8">
        <f>IF(OR(ISBLANK(E118),ISBLANK(F118)),"",IF(E118&gt;F118,"Local",IF(E118=F118,"Empate","Visitante")))</f>
        <v/>
      </c>
      <c r="H118" s="8">
        <f>IF(VLOOKUP(B118,PARTIDOS!$A:$I,9,FALSE)="Cerrado",IF(G118=VLOOKUP(B118,PARTIDOS!$A:$I,8,FALSE),IF(AND(E118=VLOOKUP(B118,PARTIDOS!$A:$I,6,FALSE),F118=VLOOKUP(B118,PARTIDOS!$A:$I,7,FALSE)),3,1),0),"")</f>
        <v/>
      </c>
    </row>
    <row r="119" ht="20.1" customHeight="1">
      <c r="A119" s="12" t="inlineStr">
        <is>
          <t>Jugador 2</t>
        </is>
      </c>
      <c r="B119" s="8" t="inlineStr">
        <is>
          <t>M46</t>
        </is>
      </c>
      <c r="C119" s="12" t="inlineStr">
        <is>
          <t>Hungría</t>
        </is>
      </c>
      <c r="D119" s="12" t="inlineStr">
        <is>
          <t>Escocia</t>
        </is>
      </c>
      <c r="E119" s="8" t="n"/>
      <c r="F119" s="8" t="n"/>
      <c r="G119" s="8">
        <f>IF(OR(ISBLANK(E119),ISBLANK(F119)),"",IF(E119&gt;F119,"Local",IF(E119=F119,"Empate","Visitante")))</f>
        <v/>
      </c>
      <c r="H119" s="8">
        <f>IF(VLOOKUP(B119,PARTIDOS!$A:$I,9,FALSE)="Cerrado",IF(G119=VLOOKUP(B119,PARTIDOS!$A:$I,8,FALSE),IF(AND(E119=VLOOKUP(B119,PARTIDOS!$A:$I,6,FALSE),F119=VLOOKUP(B119,PARTIDOS!$A:$I,7,FALSE)),3,1),0),"")</f>
        <v/>
      </c>
    </row>
    <row r="120" ht="20.1" customHeight="1">
      <c r="A120" s="12" t="inlineStr">
        <is>
          <t>Jugador 2</t>
        </is>
      </c>
      <c r="B120" s="8" t="inlineStr">
        <is>
          <t>M47</t>
        </is>
      </c>
      <c r="C120" s="12" t="inlineStr">
        <is>
          <t>Austria</t>
        </is>
      </c>
      <c r="D120" s="12" t="inlineStr">
        <is>
          <t>Escocia</t>
        </is>
      </c>
      <c r="E120" s="8" t="n"/>
      <c r="F120" s="8" t="n"/>
      <c r="G120" s="8">
        <f>IF(OR(ISBLANK(E120),ISBLANK(F120)),"",IF(E120&gt;F120,"Local",IF(E120=F120,"Empate","Visitante")))</f>
        <v/>
      </c>
      <c r="H120" s="8">
        <f>IF(VLOOKUP(B120,PARTIDOS!$A:$I,9,FALSE)="Cerrado",IF(G120=VLOOKUP(B120,PARTIDOS!$A:$I,8,FALSE),IF(AND(E120=VLOOKUP(B120,PARTIDOS!$A:$I,6,FALSE),F120=VLOOKUP(B120,PARTIDOS!$A:$I,7,FALSE)),3,1),0),"")</f>
        <v/>
      </c>
    </row>
    <row r="121" ht="20.1" customHeight="1">
      <c r="A121" s="12" t="inlineStr">
        <is>
          <t>Jugador 2</t>
        </is>
      </c>
      <c r="B121" s="8" t="inlineStr">
        <is>
          <t>M48</t>
        </is>
      </c>
      <c r="C121" s="12" t="inlineStr">
        <is>
          <t>Hungría</t>
        </is>
      </c>
      <c r="D121" s="12" t="inlineStr">
        <is>
          <t>Turquía</t>
        </is>
      </c>
      <c r="E121" s="8" t="n"/>
      <c r="F121" s="8" t="n"/>
      <c r="G121" s="8">
        <f>IF(OR(ISBLANK(E121),ISBLANK(F121)),"",IF(E121&gt;F121,"Local",IF(E121=F121,"Empate","Visitante")))</f>
        <v/>
      </c>
      <c r="H121" s="8">
        <f>IF(VLOOKUP(B121,PARTIDOS!$A:$I,9,FALSE)="Cerrado",IF(G121=VLOOKUP(B121,PARTIDOS!$A:$I,8,FALSE),IF(AND(E121=VLOOKUP(B121,PARTIDOS!$A:$I,6,FALSE),F121=VLOOKUP(B121,PARTIDOS!$A:$I,7,FALSE)),3,1),0),"")</f>
        <v/>
      </c>
    </row>
    <row r="122" ht="20.1" customHeight="1">
      <c r="A122" s="12" t="inlineStr">
        <is>
          <t>Jugador 2</t>
        </is>
      </c>
      <c r="B122" s="8" t="inlineStr">
        <is>
          <t>M49</t>
        </is>
      </c>
      <c r="C122" s="12" t="inlineStr">
        <is>
          <t>República Checa</t>
        </is>
      </c>
      <c r="D122" s="12" t="inlineStr">
        <is>
          <t>Noruega</t>
        </is>
      </c>
      <c r="E122" s="8" t="n"/>
      <c r="F122" s="8" t="n"/>
      <c r="G122" s="8">
        <f>IF(OR(ISBLANK(E122),ISBLANK(F122)),"",IF(E122&gt;F122,"Local",IF(E122=F122,"Empate","Visitante")))</f>
        <v/>
      </c>
      <c r="H122" s="8">
        <f>IF(VLOOKUP(B122,PARTIDOS!$A:$I,9,FALSE)="Cerrado",IF(G122=VLOOKUP(B122,PARTIDOS!$A:$I,8,FALSE),IF(AND(E122=VLOOKUP(B122,PARTIDOS!$A:$I,6,FALSE),F122=VLOOKUP(B122,PARTIDOS!$A:$I,7,FALSE)),3,1),0),"")</f>
        <v/>
      </c>
    </row>
    <row r="123" ht="20.1" customHeight="1">
      <c r="A123" s="12" t="inlineStr">
        <is>
          <t>Jugador 2</t>
        </is>
      </c>
      <c r="B123" s="8" t="inlineStr">
        <is>
          <t>M50</t>
        </is>
      </c>
      <c r="C123" s="12" t="inlineStr">
        <is>
          <t>Japón</t>
        </is>
      </c>
      <c r="D123" s="12" t="inlineStr">
        <is>
          <t>Irán</t>
        </is>
      </c>
      <c r="E123" s="8" t="n"/>
      <c r="F123" s="8" t="n"/>
      <c r="G123" s="8">
        <f>IF(OR(ISBLANK(E123),ISBLANK(F123)),"",IF(E123&gt;F123,"Local",IF(E123=F123,"Empate","Visitante")))</f>
        <v/>
      </c>
      <c r="H123" s="8">
        <f>IF(VLOOKUP(B123,PARTIDOS!$A:$I,9,FALSE)="Cerrado",IF(G123=VLOOKUP(B123,PARTIDOS!$A:$I,8,FALSE),IF(AND(E123=VLOOKUP(B123,PARTIDOS!$A:$I,6,FALSE),F123=VLOOKUP(B123,PARTIDOS!$A:$I,7,FALSE)),3,1),0),"")</f>
        <v/>
      </c>
    </row>
    <row r="124" ht="20.1" customHeight="1">
      <c r="A124" s="12" t="inlineStr">
        <is>
          <t>Jugador 2</t>
        </is>
      </c>
      <c r="B124" s="8" t="inlineStr">
        <is>
          <t>M51</t>
        </is>
      </c>
      <c r="C124" s="12" t="inlineStr">
        <is>
          <t>República Checa</t>
        </is>
      </c>
      <c r="D124" s="12" t="inlineStr">
        <is>
          <t>Japón</t>
        </is>
      </c>
      <c r="E124" s="8" t="n"/>
      <c r="F124" s="8" t="n"/>
      <c r="G124" s="8">
        <f>IF(OR(ISBLANK(E124),ISBLANK(F124)),"",IF(E124&gt;F124,"Local",IF(E124=F124,"Empate","Visitante")))</f>
        <v/>
      </c>
      <c r="H124" s="8">
        <f>IF(VLOOKUP(B124,PARTIDOS!$A:$I,9,FALSE)="Cerrado",IF(G124=VLOOKUP(B124,PARTIDOS!$A:$I,8,FALSE),IF(AND(E124=VLOOKUP(B124,PARTIDOS!$A:$I,6,FALSE),F124=VLOOKUP(B124,PARTIDOS!$A:$I,7,FALSE)),3,1),0),"")</f>
        <v/>
      </c>
    </row>
    <row r="125" ht="20.1" customHeight="1">
      <c r="A125" s="12" t="inlineStr">
        <is>
          <t>Jugador 2</t>
        </is>
      </c>
      <c r="B125" s="8" t="inlineStr">
        <is>
          <t>M52</t>
        </is>
      </c>
      <c r="C125" s="12" t="inlineStr">
        <is>
          <t>Noruega</t>
        </is>
      </c>
      <c r="D125" s="12" t="inlineStr">
        <is>
          <t>Irán</t>
        </is>
      </c>
      <c r="E125" s="8" t="n"/>
      <c r="F125" s="8" t="n"/>
      <c r="G125" s="8">
        <f>IF(OR(ISBLANK(E125),ISBLANK(F125)),"",IF(E125&gt;F125,"Local",IF(E125=F125,"Empate","Visitante")))</f>
        <v/>
      </c>
      <c r="H125" s="8">
        <f>IF(VLOOKUP(B125,PARTIDOS!$A:$I,9,FALSE)="Cerrado",IF(G125=VLOOKUP(B125,PARTIDOS!$A:$I,8,FALSE),IF(AND(E125=VLOOKUP(B125,PARTIDOS!$A:$I,6,FALSE),F125=VLOOKUP(B125,PARTIDOS!$A:$I,7,FALSE)),3,1),0),"")</f>
        <v/>
      </c>
    </row>
    <row r="126" ht="20.1" customHeight="1">
      <c r="A126" s="12" t="inlineStr">
        <is>
          <t>Jugador 2</t>
        </is>
      </c>
      <c r="B126" s="8" t="inlineStr">
        <is>
          <t>M53</t>
        </is>
      </c>
      <c r="C126" s="12" t="inlineStr">
        <is>
          <t>República Checa</t>
        </is>
      </c>
      <c r="D126" s="12" t="inlineStr">
        <is>
          <t>Irán</t>
        </is>
      </c>
      <c r="E126" s="8" t="n"/>
      <c r="F126" s="8" t="n"/>
      <c r="G126" s="8">
        <f>IF(OR(ISBLANK(E126),ISBLANK(F126)),"",IF(E126&gt;F126,"Local",IF(E126=F126,"Empate","Visitante")))</f>
        <v/>
      </c>
      <c r="H126" s="8">
        <f>IF(VLOOKUP(B126,PARTIDOS!$A:$I,9,FALSE)="Cerrado",IF(G126=VLOOKUP(B126,PARTIDOS!$A:$I,8,FALSE),IF(AND(E126=VLOOKUP(B126,PARTIDOS!$A:$I,6,FALSE),F126=VLOOKUP(B126,PARTIDOS!$A:$I,7,FALSE)),3,1),0),"")</f>
        <v/>
      </c>
    </row>
    <row r="127" ht="20.1" customHeight="1">
      <c r="A127" s="12" t="inlineStr">
        <is>
          <t>Jugador 2</t>
        </is>
      </c>
      <c r="B127" s="8" t="inlineStr">
        <is>
          <t>M54</t>
        </is>
      </c>
      <c r="C127" s="12" t="inlineStr">
        <is>
          <t>Noruega</t>
        </is>
      </c>
      <c r="D127" s="12" t="inlineStr">
        <is>
          <t>Japón</t>
        </is>
      </c>
      <c r="E127" s="8" t="n"/>
      <c r="F127" s="8" t="n"/>
      <c r="G127" s="8">
        <f>IF(OR(ISBLANK(E127),ISBLANK(F127)),"",IF(E127&gt;F127,"Local",IF(E127=F127,"Empate","Visitante")))</f>
        <v/>
      </c>
      <c r="H127" s="8">
        <f>IF(VLOOKUP(B127,PARTIDOS!$A:$I,9,FALSE)="Cerrado",IF(G127=VLOOKUP(B127,PARTIDOS!$A:$I,8,FALSE),IF(AND(E127=VLOOKUP(B127,PARTIDOS!$A:$I,6,FALSE),F127=VLOOKUP(B127,PARTIDOS!$A:$I,7,FALSE)),3,1),0),"")</f>
        <v/>
      </c>
    </row>
    <row r="128" ht="20.1" customHeight="1">
      <c r="A128" s="12" t="inlineStr">
        <is>
          <t>Jugador 2</t>
        </is>
      </c>
      <c r="B128" s="8" t="inlineStr">
        <is>
          <t>M55</t>
        </is>
      </c>
      <c r="C128" s="12" t="inlineStr">
        <is>
          <t>Corea del Sur</t>
        </is>
      </c>
      <c r="D128" s="12" t="inlineStr">
        <is>
          <t>Australia</t>
        </is>
      </c>
      <c r="E128" s="8" t="n"/>
      <c r="F128" s="8" t="n"/>
      <c r="G128" s="8">
        <f>IF(OR(ISBLANK(E128),ISBLANK(F128)),"",IF(E128&gt;F128,"Local",IF(E128=F128,"Empate","Visitante")))</f>
        <v/>
      </c>
      <c r="H128" s="8">
        <f>IF(VLOOKUP(B128,PARTIDOS!$A:$I,9,FALSE)="Cerrado",IF(G128=VLOOKUP(B128,PARTIDOS!$A:$I,8,FALSE),IF(AND(E128=VLOOKUP(B128,PARTIDOS!$A:$I,6,FALSE),F128=VLOOKUP(B128,PARTIDOS!$A:$I,7,FALSE)),3,1),0),"")</f>
        <v/>
      </c>
    </row>
    <row r="129" ht="20.1" customHeight="1">
      <c r="A129" s="12" t="inlineStr">
        <is>
          <t>Jugador 2</t>
        </is>
      </c>
      <c r="B129" s="8" t="inlineStr">
        <is>
          <t>M56</t>
        </is>
      </c>
      <c r="C129" s="12" t="inlineStr">
        <is>
          <t>Marruecos</t>
        </is>
      </c>
      <c r="D129" s="12" t="inlineStr">
        <is>
          <t>Senegal</t>
        </is>
      </c>
      <c r="E129" s="8" t="n"/>
      <c r="F129" s="8" t="n"/>
      <c r="G129" s="8">
        <f>IF(OR(ISBLANK(E129),ISBLANK(F129)),"",IF(E129&gt;F129,"Local",IF(E129=F129,"Empate","Visitante")))</f>
        <v/>
      </c>
      <c r="H129" s="8">
        <f>IF(VLOOKUP(B129,PARTIDOS!$A:$I,9,FALSE)="Cerrado",IF(G129=VLOOKUP(B129,PARTIDOS!$A:$I,8,FALSE),IF(AND(E129=VLOOKUP(B129,PARTIDOS!$A:$I,6,FALSE),F129=VLOOKUP(B129,PARTIDOS!$A:$I,7,FALSE)),3,1),0),"")</f>
        <v/>
      </c>
    </row>
    <row r="130" ht="20.1" customHeight="1">
      <c r="A130" s="12" t="inlineStr">
        <is>
          <t>Jugador 2</t>
        </is>
      </c>
      <c r="B130" s="8" t="inlineStr">
        <is>
          <t>M57</t>
        </is>
      </c>
      <c r="C130" s="12" t="inlineStr">
        <is>
          <t>Corea del Sur</t>
        </is>
      </c>
      <c r="D130" s="12" t="inlineStr">
        <is>
          <t>Marruecos</t>
        </is>
      </c>
      <c r="E130" s="8" t="n"/>
      <c r="F130" s="8" t="n"/>
      <c r="G130" s="8">
        <f>IF(OR(ISBLANK(E130),ISBLANK(F130)),"",IF(E130&gt;F130,"Local",IF(E130=F130,"Empate","Visitante")))</f>
        <v/>
      </c>
      <c r="H130" s="8">
        <f>IF(VLOOKUP(B130,PARTIDOS!$A:$I,9,FALSE)="Cerrado",IF(G130=VLOOKUP(B130,PARTIDOS!$A:$I,8,FALSE),IF(AND(E130=VLOOKUP(B130,PARTIDOS!$A:$I,6,FALSE),F130=VLOOKUP(B130,PARTIDOS!$A:$I,7,FALSE)),3,1),0),"")</f>
        <v/>
      </c>
    </row>
    <row r="131" ht="20.1" customHeight="1">
      <c r="A131" s="12" t="inlineStr">
        <is>
          <t>Jugador 2</t>
        </is>
      </c>
      <c r="B131" s="8" t="inlineStr">
        <is>
          <t>M58</t>
        </is>
      </c>
      <c r="C131" s="12" t="inlineStr">
        <is>
          <t>Australia</t>
        </is>
      </c>
      <c r="D131" s="12" t="inlineStr">
        <is>
          <t>Senegal</t>
        </is>
      </c>
      <c r="E131" s="8" t="n"/>
      <c r="F131" s="8" t="n"/>
      <c r="G131" s="8">
        <f>IF(OR(ISBLANK(E131),ISBLANK(F131)),"",IF(E131&gt;F131,"Local",IF(E131=F131,"Empate","Visitante")))</f>
        <v/>
      </c>
      <c r="H131" s="8">
        <f>IF(VLOOKUP(B131,PARTIDOS!$A:$I,9,FALSE)="Cerrado",IF(G131=VLOOKUP(B131,PARTIDOS!$A:$I,8,FALSE),IF(AND(E131=VLOOKUP(B131,PARTIDOS!$A:$I,6,FALSE),F131=VLOOKUP(B131,PARTIDOS!$A:$I,7,FALSE)),3,1),0),"")</f>
        <v/>
      </c>
    </row>
    <row r="132" ht="20.1" customHeight="1">
      <c r="A132" s="12" t="inlineStr">
        <is>
          <t>Jugador 2</t>
        </is>
      </c>
      <c r="B132" s="8" t="inlineStr">
        <is>
          <t>M59</t>
        </is>
      </c>
      <c r="C132" s="12" t="inlineStr">
        <is>
          <t>Corea del Sur</t>
        </is>
      </c>
      <c r="D132" s="12" t="inlineStr">
        <is>
          <t>Senegal</t>
        </is>
      </c>
      <c r="E132" s="8" t="n"/>
      <c r="F132" s="8" t="n"/>
      <c r="G132" s="8">
        <f>IF(OR(ISBLANK(E132),ISBLANK(F132)),"",IF(E132&gt;F132,"Local",IF(E132=F132,"Empate","Visitante")))</f>
        <v/>
      </c>
      <c r="H132" s="8">
        <f>IF(VLOOKUP(B132,PARTIDOS!$A:$I,9,FALSE)="Cerrado",IF(G132=VLOOKUP(B132,PARTIDOS!$A:$I,8,FALSE),IF(AND(E132=VLOOKUP(B132,PARTIDOS!$A:$I,6,FALSE),F132=VLOOKUP(B132,PARTIDOS!$A:$I,7,FALSE)),3,1),0),"")</f>
        <v/>
      </c>
    </row>
    <row r="133" ht="20.1" customHeight="1">
      <c r="A133" s="12" t="inlineStr">
        <is>
          <t>Jugador 2</t>
        </is>
      </c>
      <c r="B133" s="8" t="inlineStr">
        <is>
          <t>M60</t>
        </is>
      </c>
      <c r="C133" s="12" t="inlineStr">
        <is>
          <t>Australia</t>
        </is>
      </c>
      <c r="D133" s="12" t="inlineStr">
        <is>
          <t>Marruecos</t>
        </is>
      </c>
      <c r="E133" s="8" t="n"/>
      <c r="F133" s="8" t="n"/>
      <c r="G133" s="8">
        <f>IF(OR(ISBLANK(E133),ISBLANK(F133)),"",IF(E133&gt;F133,"Local",IF(E133=F133,"Empate","Visitante")))</f>
        <v/>
      </c>
      <c r="H133" s="8">
        <f>IF(VLOOKUP(B133,PARTIDOS!$A:$I,9,FALSE)="Cerrado",IF(G133=VLOOKUP(B133,PARTIDOS!$A:$I,8,FALSE),IF(AND(E133=VLOOKUP(B133,PARTIDOS!$A:$I,6,FALSE),F133=VLOOKUP(B133,PARTIDOS!$A:$I,7,FALSE)),3,1),0),"")</f>
        <v/>
      </c>
    </row>
    <row r="134" ht="20.1" customHeight="1">
      <c r="A134" s="12" t="inlineStr">
        <is>
          <t>Jugador 2</t>
        </is>
      </c>
      <c r="B134" s="8" t="inlineStr">
        <is>
          <t>M61</t>
        </is>
      </c>
      <c r="C134" s="12" t="inlineStr">
        <is>
          <t>Túnez</t>
        </is>
      </c>
      <c r="D134" s="12" t="inlineStr">
        <is>
          <t>Nigeria</t>
        </is>
      </c>
      <c r="E134" s="8" t="n"/>
      <c r="F134" s="8" t="n"/>
      <c r="G134" s="8">
        <f>IF(OR(ISBLANK(E134),ISBLANK(F134)),"",IF(E134&gt;F134,"Local",IF(E134=F134,"Empate","Visitante")))</f>
        <v/>
      </c>
      <c r="H134" s="8">
        <f>IF(VLOOKUP(B134,PARTIDOS!$A:$I,9,FALSE)="Cerrado",IF(G134=VLOOKUP(B134,PARTIDOS!$A:$I,8,FALSE),IF(AND(E134=VLOOKUP(B134,PARTIDOS!$A:$I,6,FALSE),F134=VLOOKUP(B134,PARTIDOS!$A:$I,7,FALSE)),3,1),0),"")</f>
        <v/>
      </c>
    </row>
    <row r="135" ht="20.1" customHeight="1">
      <c r="A135" s="12" t="inlineStr">
        <is>
          <t>Jugador 2</t>
        </is>
      </c>
      <c r="B135" s="8" t="inlineStr">
        <is>
          <t>M62</t>
        </is>
      </c>
      <c r="C135" s="12" t="inlineStr">
        <is>
          <t>Camerún</t>
        </is>
      </c>
      <c r="D135" s="12" t="inlineStr">
        <is>
          <t>Egipto</t>
        </is>
      </c>
      <c r="E135" s="8" t="n"/>
      <c r="F135" s="8" t="n"/>
      <c r="G135" s="8">
        <f>IF(OR(ISBLANK(E135),ISBLANK(F135)),"",IF(E135&gt;F135,"Local",IF(E135=F135,"Empate","Visitante")))</f>
        <v/>
      </c>
      <c r="H135" s="8">
        <f>IF(VLOOKUP(B135,PARTIDOS!$A:$I,9,FALSE)="Cerrado",IF(G135=VLOOKUP(B135,PARTIDOS!$A:$I,8,FALSE),IF(AND(E135=VLOOKUP(B135,PARTIDOS!$A:$I,6,FALSE),F135=VLOOKUP(B135,PARTIDOS!$A:$I,7,FALSE)),3,1),0),"")</f>
        <v/>
      </c>
    </row>
    <row r="136" ht="20.1" customHeight="1">
      <c r="A136" s="12" t="inlineStr">
        <is>
          <t>Jugador 2</t>
        </is>
      </c>
      <c r="B136" s="8" t="inlineStr">
        <is>
          <t>M63</t>
        </is>
      </c>
      <c r="C136" s="12" t="inlineStr">
        <is>
          <t>Túnez</t>
        </is>
      </c>
      <c r="D136" s="12" t="inlineStr">
        <is>
          <t>Camerún</t>
        </is>
      </c>
      <c r="E136" s="8" t="n"/>
      <c r="F136" s="8" t="n"/>
      <c r="G136" s="8">
        <f>IF(OR(ISBLANK(E136),ISBLANK(F136)),"",IF(E136&gt;F136,"Local",IF(E136=F136,"Empate","Visitante")))</f>
        <v/>
      </c>
      <c r="H136" s="8">
        <f>IF(VLOOKUP(B136,PARTIDOS!$A:$I,9,FALSE)="Cerrado",IF(G136=VLOOKUP(B136,PARTIDOS!$A:$I,8,FALSE),IF(AND(E136=VLOOKUP(B136,PARTIDOS!$A:$I,6,FALSE),F136=VLOOKUP(B136,PARTIDOS!$A:$I,7,FALSE)),3,1),0),"")</f>
        <v/>
      </c>
    </row>
    <row r="137" ht="20.1" customHeight="1">
      <c r="A137" s="12" t="inlineStr">
        <is>
          <t>Jugador 2</t>
        </is>
      </c>
      <c r="B137" s="8" t="inlineStr">
        <is>
          <t>M64</t>
        </is>
      </c>
      <c r="C137" s="12" t="inlineStr">
        <is>
          <t>Nigeria</t>
        </is>
      </c>
      <c r="D137" s="12" t="inlineStr">
        <is>
          <t>Egipto</t>
        </is>
      </c>
      <c r="E137" s="8" t="n"/>
      <c r="F137" s="8" t="n"/>
      <c r="G137" s="8">
        <f>IF(OR(ISBLANK(E137),ISBLANK(F137)),"",IF(E137&gt;F137,"Local",IF(E137=F137,"Empate","Visitante")))</f>
        <v/>
      </c>
      <c r="H137" s="8">
        <f>IF(VLOOKUP(B137,PARTIDOS!$A:$I,9,FALSE)="Cerrado",IF(G137=VLOOKUP(B137,PARTIDOS!$A:$I,8,FALSE),IF(AND(E137=VLOOKUP(B137,PARTIDOS!$A:$I,6,FALSE),F137=VLOOKUP(B137,PARTIDOS!$A:$I,7,FALSE)),3,1),0),"")</f>
        <v/>
      </c>
    </row>
    <row r="138" ht="20.1" customHeight="1">
      <c r="A138" s="12" t="inlineStr">
        <is>
          <t>Jugador 2</t>
        </is>
      </c>
      <c r="B138" s="8" t="inlineStr">
        <is>
          <t>M65</t>
        </is>
      </c>
      <c r="C138" s="12" t="inlineStr">
        <is>
          <t>Túnez</t>
        </is>
      </c>
      <c r="D138" s="12" t="inlineStr">
        <is>
          <t>Egipto</t>
        </is>
      </c>
      <c r="E138" s="8" t="n"/>
      <c r="F138" s="8" t="n"/>
      <c r="G138" s="8">
        <f>IF(OR(ISBLANK(E138),ISBLANK(F138)),"",IF(E138&gt;F138,"Local",IF(E138=F138,"Empate","Visitante")))</f>
        <v/>
      </c>
      <c r="H138" s="8">
        <f>IF(VLOOKUP(B138,PARTIDOS!$A:$I,9,FALSE)="Cerrado",IF(G138=VLOOKUP(B138,PARTIDOS!$A:$I,8,FALSE),IF(AND(E138=VLOOKUP(B138,PARTIDOS!$A:$I,6,FALSE),F138=VLOOKUP(B138,PARTIDOS!$A:$I,7,FALSE)),3,1),0),"")</f>
        <v/>
      </c>
    </row>
    <row r="139" ht="20.1" customHeight="1">
      <c r="A139" s="12" t="inlineStr">
        <is>
          <t>Jugador 2</t>
        </is>
      </c>
      <c r="B139" s="8" t="inlineStr">
        <is>
          <t>M66</t>
        </is>
      </c>
      <c r="C139" s="12" t="inlineStr">
        <is>
          <t>Nigeria</t>
        </is>
      </c>
      <c r="D139" s="12" t="inlineStr">
        <is>
          <t>Camerún</t>
        </is>
      </c>
      <c r="E139" s="8" t="n"/>
      <c r="F139" s="8" t="n"/>
      <c r="G139" s="8">
        <f>IF(OR(ISBLANK(E139),ISBLANK(F139)),"",IF(E139&gt;F139,"Local",IF(E139=F139,"Empate","Visitante")))</f>
        <v/>
      </c>
      <c r="H139" s="8">
        <f>IF(VLOOKUP(B139,PARTIDOS!$A:$I,9,FALSE)="Cerrado",IF(G139=VLOOKUP(B139,PARTIDOS!$A:$I,8,FALSE),IF(AND(E139=VLOOKUP(B139,PARTIDOS!$A:$I,6,FALSE),F139=VLOOKUP(B139,PARTIDOS!$A:$I,7,FALSE)),3,1),0),"")</f>
        <v/>
      </c>
    </row>
    <row r="140" ht="20.1" customHeight="1">
      <c r="A140" s="12" t="inlineStr">
        <is>
          <t>Jugador 2</t>
        </is>
      </c>
      <c r="B140" s="8" t="inlineStr">
        <is>
          <t>M67</t>
        </is>
      </c>
      <c r="C140" s="12" t="inlineStr">
        <is>
          <t>Costa de Marfil</t>
        </is>
      </c>
      <c r="D140" s="12" t="inlineStr">
        <is>
          <t>Sudáfrica</t>
        </is>
      </c>
      <c r="E140" s="8" t="n"/>
      <c r="F140" s="8" t="n"/>
      <c r="G140" s="8">
        <f>IF(OR(ISBLANK(E140),ISBLANK(F140)),"",IF(E140&gt;F140,"Local",IF(E140=F140,"Empate","Visitante")))</f>
        <v/>
      </c>
      <c r="H140" s="8">
        <f>IF(VLOOKUP(B140,PARTIDOS!$A:$I,9,FALSE)="Cerrado",IF(G140=VLOOKUP(B140,PARTIDOS!$A:$I,8,FALSE),IF(AND(E140=VLOOKUP(B140,PARTIDOS!$A:$I,6,FALSE),F140=VLOOKUP(B140,PARTIDOS!$A:$I,7,FALSE)),3,1),0),"")</f>
        <v/>
      </c>
    </row>
    <row r="141" ht="20.1" customHeight="1">
      <c r="A141" s="12" t="inlineStr">
        <is>
          <t>Jugador 2</t>
        </is>
      </c>
      <c r="B141" s="8" t="inlineStr">
        <is>
          <t>M68</t>
        </is>
      </c>
      <c r="C141" s="12" t="inlineStr">
        <is>
          <t>Panáma</t>
        </is>
      </c>
      <c r="D141" s="12" t="inlineStr">
        <is>
          <t>Nueva Zelanda</t>
        </is>
      </c>
      <c r="E141" s="8" t="n"/>
      <c r="F141" s="8" t="n"/>
      <c r="G141" s="8">
        <f>IF(OR(ISBLANK(E141),ISBLANK(F141)),"",IF(E141&gt;F141,"Local",IF(E141=F141,"Empate","Visitante")))</f>
        <v/>
      </c>
      <c r="H141" s="8">
        <f>IF(VLOOKUP(B141,PARTIDOS!$A:$I,9,FALSE)="Cerrado",IF(G141=VLOOKUP(B141,PARTIDOS!$A:$I,8,FALSE),IF(AND(E141=VLOOKUP(B141,PARTIDOS!$A:$I,6,FALSE),F141=VLOOKUP(B141,PARTIDOS!$A:$I,7,FALSE)),3,1),0),"")</f>
        <v/>
      </c>
    </row>
    <row r="142" ht="20.1" customHeight="1">
      <c r="A142" s="12" t="inlineStr">
        <is>
          <t>Jugador 2</t>
        </is>
      </c>
      <c r="B142" s="8" t="inlineStr">
        <is>
          <t>M69</t>
        </is>
      </c>
      <c r="C142" s="12" t="inlineStr">
        <is>
          <t>Costa de Marfil</t>
        </is>
      </c>
      <c r="D142" s="12" t="inlineStr">
        <is>
          <t>Panáma</t>
        </is>
      </c>
      <c r="E142" s="8" t="n"/>
      <c r="F142" s="8" t="n"/>
      <c r="G142" s="8">
        <f>IF(OR(ISBLANK(E142),ISBLANK(F142)),"",IF(E142&gt;F142,"Local",IF(E142=F142,"Empate","Visitante")))</f>
        <v/>
      </c>
      <c r="H142" s="8">
        <f>IF(VLOOKUP(B142,PARTIDOS!$A:$I,9,FALSE)="Cerrado",IF(G142=VLOOKUP(B142,PARTIDOS!$A:$I,8,FALSE),IF(AND(E142=VLOOKUP(B142,PARTIDOS!$A:$I,6,FALSE),F142=VLOOKUP(B142,PARTIDOS!$A:$I,7,FALSE)),3,1),0),"")</f>
        <v/>
      </c>
    </row>
    <row r="143" ht="20.1" customHeight="1">
      <c r="A143" s="12" t="inlineStr">
        <is>
          <t>Jugador 2</t>
        </is>
      </c>
      <c r="B143" s="8" t="inlineStr">
        <is>
          <t>M70</t>
        </is>
      </c>
      <c r="C143" s="12" t="inlineStr">
        <is>
          <t>Sudáfrica</t>
        </is>
      </c>
      <c r="D143" s="12" t="inlineStr">
        <is>
          <t>Nueva Zelanda</t>
        </is>
      </c>
      <c r="E143" s="8" t="n"/>
      <c r="F143" s="8" t="n"/>
      <c r="G143" s="8">
        <f>IF(OR(ISBLANK(E143),ISBLANK(F143)),"",IF(E143&gt;F143,"Local",IF(E143=F143,"Empate","Visitante")))</f>
        <v/>
      </c>
      <c r="H143" s="8">
        <f>IF(VLOOKUP(B143,PARTIDOS!$A:$I,9,FALSE)="Cerrado",IF(G143=VLOOKUP(B143,PARTIDOS!$A:$I,8,FALSE),IF(AND(E143=VLOOKUP(B143,PARTIDOS!$A:$I,6,FALSE),F143=VLOOKUP(B143,PARTIDOS!$A:$I,7,FALSE)),3,1),0),"")</f>
        <v/>
      </c>
    </row>
    <row r="144" ht="20.1" customHeight="1">
      <c r="A144" s="12" t="inlineStr">
        <is>
          <t>Jugador 2</t>
        </is>
      </c>
      <c r="B144" s="8" t="inlineStr">
        <is>
          <t>M71</t>
        </is>
      </c>
      <c r="C144" s="12" t="inlineStr">
        <is>
          <t>Costa de Marfil</t>
        </is>
      </c>
      <c r="D144" s="12" t="inlineStr">
        <is>
          <t>Nueva Zelanda</t>
        </is>
      </c>
      <c r="E144" s="8" t="n"/>
      <c r="F144" s="8" t="n"/>
      <c r="G144" s="8">
        <f>IF(OR(ISBLANK(E144),ISBLANK(F144)),"",IF(E144&gt;F144,"Local",IF(E144=F144,"Empate","Visitante")))</f>
        <v/>
      </c>
      <c r="H144" s="8">
        <f>IF(VLOOKUP(B144,PARTIDOS!$A:$I,9,FALSE)="Cerrado",IF(G144=VLOOKUP(B144,PARTIDOS!$A:$I,8,FALSE),IF(AND(E144=VLOOKUP(B144,PARTIDOS!$A:$I,6,FALSE),F144=VLOOKUP(B144,PARTIDOS!$A:$I,7,FALSE)),3,1),0),"")</f>
        <v/>
      </c>
    </row>
    <row r="145" ht="20.1" customHeight="1">
      <c r="A145" s="12" t="inlineStr">
        <is>
          <t>Jugador 2</t>
        </is>
      </c>
      <c r="B145" s="8" t="inlineStr">
        <is>
          <t>M72</t>
        </is>
      </c>
      <c r="C145" s="12" t="inlineStr">
        <is>
          <t>Sudáfrica</t>
        </is>
      </c>
      <c r="D145" s="12" t="inlineStr">
        <is>
          <t>Panáma</t>
        </is>
      </c>
      <c r="E145" s="8" t="n"/>
      <c r="F145" s="8" t="n"/>
      <c r="G145" s="8">
        <f>IF(OR(ISBLANK(E145),ISBLANK(F145)),"",IF(E145&gt;F145,"Local",IF(E145=F145,"Empate","Visitante")))</f>
        <v/>
      </c>
      <c r="H145" s="8">
        <f>IF(VLOOKUP(B145,PARTIDOS!$A:$I,9,FALSE)="Cerrado",IF(G145=VLOOKUP(B145,PARTIDOS!$A:$I,8,FALSE),IF(AND(E145=VLOOKUP(B145,PARTIDOS!$A:$I,6,FALSE),F145=VLOOKUP(B145,PARTIDOS!$A:$I,7,FALSE)),3,1),0),"")</f>
        <v/>
      </c>
    </row>
    <row r="146" ht="20.1" customHeight="1">
      <c r="A146" s="12" t="inlineStr">
        <is>
          <t>Jugador 3</t>
        </is>
      </c>
      <c r="B146" s="8" t="inlineStr">
        <is>
          <t>M01</t>
        </is>
      </c>
      <c r="C146" s="12" t="inlineStr">
        <is>
          <t>México</t>
        </is>
      </c>
      <c r="D146" s="12" t="inlineStr">
        <is>
          <t>EEUU</t>
        </is>
      </c>
      <c r="E146" s="8" t="n"/>
      <c r="F146" s="8" t="n"/>
      <c r="G146" s="8">
        <f>IF(OR(ISBLANK(E146),ISBLANK(F146)),"",IF(E146&gt;F146,"Local",IF(E146=F146,"Empate","Visitante")))</f>
        <v/>
      </c>
      <c r="H146" s="8">
        <f>IF(VLOOKUP(B146,PARTIDOS!$A:$I,9,FALSE)="Cerrado",IF(G146=VLOOKUP(B146,PARTIDOS!$A:$I,8,FALSE),IF(AND(E146=VLOOKUP(B146,PARTIDOS!$A:$I,6,FALSE),F146=VLOOKUP(B146,PARTIDOS!$A:$I,7,FALSE)),3,1),0),"")</f>
        <v/>
      </c>
    </row>
    <row r="147" ht="20.1" customHeight="1">
      <c r="A147" s="12" t="inlineStr">
        <is>
          <t>Jugador 3</t>
        </is>
      </c>
      <c r="B147" s="8" t="inlineStr">
        <is>
          <t>M02</t>
        </is>
      </c>
      <c r="C147" s="12" t="inlineStr">
        <is>
          <t>Canadá</t>
        </is>
      </c>
      <c r="D147" s="12" t="inlineStr">
        <is>
          <t>Jamaica</t>
        </is>
      </c>
      <c r="E147" s="8" t="n"/>
      <c r="F147" s="8" t="n"/>
      <c r="G147" s="8">
        <f>IF(OR(ISBLANK(E147),ISBLANK(F147)),"",IF(E147&gt;F147,"Local",IF(E147=F147,"Empate","Visitante")))</f>
        <v/>
      </c>
      <c r="H147" s="8">
        <f>IF(VLOOKUP(B147,PARTIDOS!$A:$I,9,FALSE)="Cerrado",IF(G147=VLOOKUP(B147,PARTIDOS!$A:$I,8,FALSE),IF(AND(E147=VLOOKUP(B147,PARTIDOS!$A:$I,6,FALSE),F147=VLOOKUP(B147,PARTIDOS!$A:$I,7,FALSE)),3,1),0),"")</f>
        <v/>
      </c>
    </row>
    <row r="148" ht="20.1" customHeight="1">
      <c r="A148" s="12" t="inlineStr">
        <is>
          <t>Jugador 3</t>
        </is>
      </c>
      <c r="B148" s="8" t="inlineStr">
        <is>
          <t>M03</t>
        </is>
      </c>
      <c r="C148" s="12" t="inlineStr">
        <is>
          <t>México</t>
        </is>
      </c>
      <c r="D148" s="12" t="inlineStr">
        <is>
          <t>Canadá</t>
        </is>
      </c>
      <c r="E148" s="8" t="n"/>
      <c r="F148" s="8" t="n"/>
      <c r="G148" s="8">
        <f>IF(OR(ISBLANK(E148),ISBLANK(F148)),"",IF(E148&gt;F148,"Local",IF(E148=F148,"Empate","Visitante")))</f>
        <v/>
      </c>
      <c r="H148" s="8">
        <f>IF(VLOOKUP(B148,PARTIDOS!$A:$I,9,FALSE)="Cerrado",IF(G148=VLOOKUP(B148,PARTIDOS!$A:$I,8,FALSE),IF(AND(E148=VLOOKUP(B148,PARTIDOS!$A:$I,6,FALSE),F148=VLOOKUP(B148,PARTIDOS!$A:$I,7,FALSE)),3,1),0),"")</f>
        <v/>
      </c>
    </row>
    <row r="149" ht="20.1" customHeight="1">
      <c r="A149" s="12" t="inlineStr">
        <is>
          <t>Jugador 3</t>
        </is>
      </c>
      <c r="B149" s="8" t="inlineStr">
        <is>
          <t>M04</t>
        </is>
      </c>
      <c r="C149" s="12" t="inlineStr">
        <is>
          <t>EEUU</t>
        </is>
      </c>
      <c r="D149" s="12" t="inlineStr">
        <is>
          <t>Jamaica</t>
        </is>
      </c>
      <c r="E149" s="8" t="n"/>
      <c r="F149" s="8" t="n"/>
      <c r="G149" s="8">
        <f>IF(OR(ISBLANK(E149),ISBLANK(F149)),"",IF(E149&gt;F149,"Local",IF(E149=F149,"Empate","Visitante")))</f>
        <v/>
      </c>
      <c r="H149" s="8">
        <f>IF(VLOOKUP(B149,PARTIDOS!$A:$I,9,FALSE)="Cerrado",IF(G149=VLOOKUP(B149,PARTIDOS!$A:$I,8,FALSE),IF(AND(E149=VLOOKUP(B149,PARTIDOS!$A:$I,6,FALSE),F149=VLOOKUP(B149,PARTIDOS!$A:$I,7,FALSE)),3,1),0),"")</f>
        <v/>
      </c>
    </row>
    <row r="150" ht="20.1" customHeight="1">
      <c r="A150" s="12" t="inlineStr">
        <is>
          <t>Jugador 3</t>
        </is>
      </c>
      <c r="B150" s="8" t="inlineStr">
        <is>
          <t>M05</t>
        </is>
      </c>
      <c r="C150" s="12" t="inlineStr">
        <is>
          <t>México</t>
        </is>
      </c>
      <c r="D150" s="12" t="inlineStr">
        <is>
          <t>Jamaica</t>
        </is>
      </c>
      <c r="E150" s="8" t="n"/>
      <c r="F150" s="8" t="n"/>
      <c r="G150" s="8">
        <f>IF(OR(ISBLANK(E150),ISBLANK(F150)),"",IF(E150&gt;F150,"Local",IF(E150=F150,"Empate","Visitante")))</f>
        <v/>
      </c>
      <c r="H150" s="8">
        <f>IF(VLOOKUP(B150,PARTIDOS!$A:$I,9,FALSE)="Cerrado",IF(G150=VLOOKUP(B150,PARTIDOS!$A:$I,8,FALSE),IF(AND(E150=VLOOKUP(B150,PARTIDOS!$A:$I,6,FALSE),F150=VLOOKUP(B150,PARTIDOS!$A:$I,7,FALSE)),3,1),0),"")</f>
        <v/>
      </c>
    </row>
    <row r="151" ht="20.1" customHeight="1">
      <c r="A151" s="12" t="inlineStr">
        <is>
          <t>Jugador 3</t>
        </is>
      </c>
      <c r="B151" s="8" t="inlineStr">
        <is>
          <t>M06</t>
        </is>
      </c>
      <c r="C151" s="12" t="inlineStr">
        <is>
          <t>EEUU</t>
        </is>
      </c>
      <c r="D151" s="12" t="inlineStr">
        <is>
          <t>Canadá</t>
        </is>
      </c>
      <c r="E151" s="8" t="n"/>
      <c r="F151" s="8" t="n"/>
      <c r="G151" s="8">
        <f>IF(OR(ISBLANK(E151),ISBLANK(F151)),"",IF(E151&gt;F151,"Local",IF(E151=F151,"Empate","Visitante")))</f>
        <v/>
      </c>
      <c r="H151" s="8">
        <f>IF(VLOOKUP(B151,PARTIDOS!$A:$I,9,FALSE)="Cerrado",IF(G151=VLOOKUP(B151,PARTIDOS!$A:$I,8,FALSE),IF(AND(E151=VLOOKUP(B151,PARTIDOS!$A:$I,6,FALSE),F151=VLOOKUP(B151,PARTIDOS!$A:$I,7,FALSE)),3,1),0),"")</f>
        <v/>
      </c>
    </row>
    <row r="152" ht="20.1" customHeight="1">
      <c r="A152" s="12" t="inlineStr">
        <is>
          <t>Jugador 3</t>
        </is>
      </c>
      <c r="B152" s="8" t="inlineStr">
        <is>
          <t>M07</t>
        </is>
      </c>
      <c r="C152" s="12" t="inlineStr">
        <is>
          <t>Argentina</t>
        </is>
      </c>
      <c r="D152" s="12" t="inlineStr">
        <is>
          <t>Brasil</t>
        </is>
      </c>
      <c r="E152" s="8" t="n"/>
      <c r="F152" s="8" t="n"/>
      <c r="G152" s="8">
        <f>IF(OR(ISBLANK(E152),ISBLANK(F152)),"",IF(E152&gt;F152,"Local",IF(E152=F152,"Empate","Visitante")))</f>
        <v/>
      </c>
      <c r="H152" s="8">
        <f>IF(VLOOKUP(B152,PARTIDOS!$A:$I,9,FALSE)="Cerrado",IF(G152=VLOOKUP(B152,PARTIDOS!$A:$I,8,FALSE),IF(AND(E152=VLOOKUP(B152,PARTIDOS!$A:$I,6,FALSE),F152=VLOOKUP(B152,PARTIDOS!$A:$I,7,FALSE)),3,1),0),"")</f>
        <v/>
      </c>
    </row>
    <row r="153" ht="20.1" customHeight="1">
      <c r="A153" s="12" t="inlineStr">
        <is>
          <t>Jugador 3</t>
        </is>
      </c>
      <c r="B153" s="8" t="inlineStr">
        <is>
          <t>M08</t>
        </is>
      </c>
      <c r="C153" s="12" t="inlineStr">
        <is>
          <t>Colombia</t>
        </is>
      </c>
      <c r="D153" s="12" t="inlineStr">
        <is>
          <t>Uruguay</t>
        </is>
      </c>
      <c r="E153" s="8" t="n"/>
      <c r="F153" s="8" t="n"/>
      <c r="G153" s="8">
        <f>IF(OR(ISBLANK(E153),ISBLANK(F153)),"",IF(E153&gt;F153,"Local",IF(E153=F153,"Empate","Visitante")))</f>
        <v/>
      </c>
      <c r="H153" s="8">
        <f>IF(VLOOKUP(B153,PARTIDOS!$A:$I,9,FALSE)="Cerrado",IF(G153=VLOOKUP(B153,PARTIDOS!$A:$I,8,FALSE),IF(AND(E153=VLOOKUP(B153,PARTIDOS!$A:$I,6,FALSE),F153=VLOOKUP(B153,PARTIDOS!$A:$I,7,FALSE)),3,1),0),"")</f>
        <v/>
      </c>
    </row>
    <row r="154" ht="20.1" customHeight="1">
      <c r="A154" s="12" t="inlineStr">
        <is>
          <t>Jugador 3</t>
        </is>
      </c>
      <c r="B154" s="8" t="inlineStr">
        <is>
          <t>M09</t>
        </is>
      </c>
      <c r="C154" s="12" t="inlineStr">
        <is>
          <t>Argentina</t>
        </is>
      </c>
      <c r="D154" s="12" t="inlineStr">
        <is>
          <t>Colombia</t>
        </is>
      </c>
      <c r="E154" s="8" t="n"/>
      <c r="F154" s="8" t="n"/>
      <c r="G154" s="8">
        <f>IF(OR(ISBLANK(E154),ISBLANK(F154)),"",IF(E154&gt;F154,"Local",IF(E154=F154,"Empate","Visitante")))</f>
        <v/>
      </c>
      <c r="H154" s="8">
        <f>IF(VLOOKUP(B154,PARTIDOS!$A:$I,9,FALSE)="Cerrado",IF(G154=VLOOKUP(B154,PARTIDOS!$A:$I,8,FALSE),IF(AND(E154=VLOOKUP(B154,PARTIDOS!$A:$I,6,FALSE),F154=VLOOKUP(B154,PARTIDOS!$A:$I,7,FALSE)),3,1),0),"")</f>
        <v/>
      </c>
    </row>
    <row r="155" ht="20.1" customHeight="1">
      <c r="A155" s="12" t="inlineStr">
        <is>
          <t>Jugador 3</t>
        </is>
      </c>
      <c r="B155" s="8" t="inlineStr">
        <is>
          <t>M10</t>
        </is>
      </c>
      <c r="C155" s="12" t="inlineStr">
        <is>
          <t>Brasil</t>
        </is>
      </c>
      <c r="D155" s="12" t="inlineStr">
        <is>
          <t>Uruguay</t>
        </is>
      </c>
      <c r="E155" s="8" t="n"/>
      <c r="F155" s="8" t="n"/>
      <c r="G155" s="8">
        <f>IF(OR(ISBLANK(E155),ISBLANK(F155)),"",IF(E155&gt;F155,"Local",IF(E155=F155,"Empate","Visitante")))</f>
        <v/>
      </c>
      <c r="H155" s="8">
        <f>IF(VLOOKUP(B155,PARTIDOS!$A:$I,9,FALSE)="Cerrado",IF(G155=VLOOKUP(B155,PARTIDOS!$A:$I,8,FALSE),IF(AND(E155=VLOOKUP(B155,PARTIDOS!$A:$I,6,FALSE),F155=VLOOKUP(B155,PARTIDOS!$A:$I,7,FALSE)),3,1),0),"")</f>
        <v/>
      </c>
    </row>
    <row r="156" ht="20.1" customHeight="1">
      <c r="A156" s="12" t="inlineStr">
        <is>
          <t>Jugador 3</t>
        </is>
      </c>
      <c r="B156" s="8" t="inlineStr">
        <is>
          <t>M11</t>
        </is>
      </c>
      <c r="C156" s="12" t="inlineStr">
        <is>
          <t>Argentina</t>
        </is>
      </c>
      <c r="D156" s="12" t="inlineStr">
        <is>
          <t>Uruguay</t>
        </is>
      </c>
      <c r="E156" s="8" t="n"/>
      <c r="F156" s="8" t="n"/>
      <c r="G156" s="8">
        <f>IF(OR(ISBLANK(E156),ISBLANK(F156)),"",IF(E156&gt;F156,"Local",IF(E156=F156,"Empate","Visitante")))</f>
        <v/>
      </c>
      <c r="H156" s="8">
        <f>IF(VLOOKUP(B156,PARTIDOS!$A:$I,9,FALSE)="Cerrado",IF(G156=VLOOKUP(B156,PARTIDOS!$A:$I,8,FALSE),IF(AND(E156=VLOOKUP(B156,PARTIDOS!$A:$I,6,FALSE),F156=VLOOKUP(B156,PARTIDOS!$A:$I,7,FALSE)),3,1),0),"")</f>
        <v/>
      </c>
    </row>
    <row r="157" ht="20.1" customHeight="1">
      <c r="A157" s="12" t="inlineStr">
        <is>
          <t>Jugador 3</t>
        </is>
      </c>
      <c r="B157" s="8" t="inlineStr">
        <is>
          <t>M12</t>
        </is>
      </c>
      <c r="C157" s="12" t="inlineStr">
        <is>
          <t>Brasil</t>
        </is>
      </c>
      <c r="D157" s="12" t="inlineStr">
        <is>
          <t>Colombia</t>
        </is>
      </c>
      <c r="E157" s="8" t="n"/>
      <c r="F157" s="8" t="n"/>
      <c r="G157" s="8">
        <f>IF(OR(ISBLANK(E157),ISBLANK(F157)),"",IF(E157&gt;F157,"Local",IF(E157=F157,"Empate","Visitante")))</f>
        <v/>
      </c>
      <c r="H157" s="8">
        <f>IF(VLOOKUP(B157,PARTIDOS!$A:$I,9,FALSE)="Cerrado",IF(G157=VLOOKUP(B157,PARTIDOS!$A:$I,8,FALSE),IF(AND(E157=VLOOKUP(B157,PARTIDOS!$A:$I,6,FALSE),F157=VLOOKUP(B157,PARTIDOS!$A:$I,7,FALSE)),3,1),0),"")</f>
        <v/>
      </c>
    </row>
    <row r="158" ht="20.1" customHeight="1">
      <c r="A158" s="12" t="inlineStr">
        <is>
          <t>Jugador 3</t>
        </is>
      </c>
      <c r="B158" s="8" t="inlineStr">
        <is>
          <t>M13</t>
        </is>
      </c>
      <c r="C158" s="12" t="inlineStr">
        <is>
          <t>Ecuador</t>
        </is>
      </c>
      <c r="D158" s="12" t="inlineStr">
        <is>
          <t>Perú</t>
        </is>
      </c>
      <c r="E158" s="8" t="n"/>
      <c r="F158" s="8" t="n"/>
      <c r="G158" s="8">
        <f>IF(OR(ISBLANK(E158),ISBLANK(F158)),"",IF(E158&gt;F158,"Local",IF(E158=F158,"Empate","Visitante")))</f>
        <v/>
      </c>
      <c r="H158" s="8">
        <f>IF(VLOOKUP(B158,PARTIDOS!$A:$I,9,FALSE)="Cerrado",IF(G158=VLOOKUP(B158,PARTIDOS!$A:$I,8,FALSE),IF(AND(E158=VLOOKUP(B158,PARTIDOS!$A:$I,6,FALSE),F158=VLOOKUP(B158,PARTIDOS!$A:$I,7,FALSE)),3,1),0),"")</f>
        <v/>
      </c>
    </row>
    <row r="159" ht="20.1" customHeight="1">
      <c r="A159" s="12" t="inlineStr">
        <is>
          <t>Jugador 3</t>
        </is>
      </c>
      <c r="B159" s="8" t="inlineStr">
        <is>
          <t>M14</t>
        </is>
      </c>
      <c r="C159" s="12" t="inlineStr">
        <is>
          <t>Chile</t>
        </is>
      </c>
      <c r="D159" s="12" t="inlineStr">
        <is>
          <t>Paraguay</t>
        </is>
      </c>
      <c r="E159" s="8" t="n"/>
      <c r="F159" s="8" t="n"/>
      <c r="G159" s="8">
        <f>IF(OR(ISBLANK(E159),ISBLANK(F159)),"",IF(E159&gt;F159,"Local",IF(E159=F159,"Empate","Visitante")))</f>
        <v/>
      </c>
      <c r="H159" s="8">
        <f>IF(VLOOKUP(B159,PARTIDOS!$A:$I,9,FALSE)="Cerrado",IF(G159=VLOOKUP(B159,PARTIDOS!$A:$I,8,FALSE),IF(AND(E159=VLOOKUP(B159,PARTIDOS!$A:$I,6,FALSE),F159=VLOOKUP(B159,PARTIDOS!$A:$I,7,FALSE)),3,1),0),"")</f>
        <v/>
      </c>
    </row>
    <row r="160" ht="20.1" customHeight="1">
      <c r="A160" s="12" t="inlineStr">
        <is>
          <t>Jugador 3</t>
        </is>
      </c>
      <c r="B160" s="8" t="inlineStr">
        <is>
          <t>M15</t>
        </is>
      </c>
      <c r="C160" s="12" t="inlineStr">
        <is>
          <t>Ecuador</t>
        </is>
      </c>
      <c r="D160" s="12" t="inlineStr">
        <is>
          <t>Chile</t>
        </is>
      </c>
      <c r="E160" s="8" t="n"/>
      <c r="F160" s="8" t="n"/>
      <c r="G160" s="8">
        <f>IF(OR(ISBLANK(E160),ISBLANK(F160)),"",IF(E160&gt;F160,"Local",IF(E160=F160,"Empate","Visitante")))</f>
        <v/>
      </c>
      <c r="H160" s="8">
        <f>IF(VLOOKUP(B160,PARTIDOS!$A:$I,9,FALSE)="Cerrado",IF(G160=VLOOKUP(B160,PARTIDOS!$A:$I,8,FALSE),IF(AND(E160=VLOOKUP(B160,PARTIDOS!$A:$I,6,FALSE),F160=VLOOKUP(B160,PARTIDOS!$A:$I,7,FALSE)),3,1),0),"")</f>
        <v/>
      </c>
    </row>
    <row r="161" ht="20.1" customHeight="1">
      <c r="A161" s="12" t="inlineStr">
        <is>
          <t>Jugador 3</t>
        </is>
      </c>
      <c r="B161" s="8" t="inlineStr">
        <is>
          <t>M16</t>
        </is>
      </c>
      <c r="C161" s="12" t="inlineStr">
        <is>
          <t>Perú</t>
        </is>
      </c>
      <c r="D161" s="12" t="inlineStr">
        <is>
          <t>Paraguay</t>
        </is>
      </c>
      <c r="E161" s="8" t="n"/>
      <c r="F161" s="8" t="n"/>
      <c r="G161" s="8">
        <f>IF(OR(ISBLANK(E161),ISBLANK(F161)),"",IF(E161&gt;F161,"Local",IF(E161=F161,"Empate","Visitante")))</f>
        <v/>
      </c>
      <c r="H161" s="8">
        <f>IF(VLOOKUP(B161,PARTIDOS!$A:$I,9,FALSE)="Cerrado",IF(G161=VLOOKUP(B161,PARTIDOS!$A:$I,8,FALSE),IF(AND(E161=VLOOKUP(B161,PARTIDOS!$A:$I,6,FALSE),F161=VLOOKUP(B161,PARTIDOS!$A:$I,7,FALSE)),3,1),0),"")</f>
        <v/>
      </c>
    </row>
    <row r="162" ht="20.1" customHeight="1">
      <c r="A162" s="12" t="inlineStr">
        <is>
          <t>Jugador 3</t>
        </is>
      </c>
      <c r="B162" s="8" t="inlineStr">
        <is>
          <t>M17</t>
        </is>
      </c>
      <c r="C162" s="12" t="inlineStr">
        <is>
          <t>Ecuador</t>
        </is>
      </c>
      <c r="D162" s="12" t="inlineStr">
        <is>
          <t>Paraguay</t>
        </is>
      </c>
      <c r="E162" s="8" t="n"/>
      <c r="F162" s="8" t="n"/>
      <c r="G162" s="8">
        <f>IF(OR(ISBLANK(E162),ISBLANK(F162)),"",IF(E162&gt;F162,"Local",IF(E162=F162,"Empate","Visitante")))</f>
        <v/>
      </c>
      <c r="H162" s="8">
        <f>IF(VLOOKUP(B162,PARTIDOS!$A:$I,9,FALSE)="Cerrado",IF(G162=VLOOKUP(B162,PARTIDOS!$A:$I,8,FALSE),IF(AND(E162=VLOOKUP(B162,PARTIDOS!$A:$I,6,FALSE),F162=VLOOKUP(B162,PARTIDOS!$A:$I,7,FALSE)),3,1),0),"")</f>
        <v/>
      </c>
    </row>
    <row r="163" ht="20.1" customHeight="1">
      <c r="A163" s="12" t="inlineStr">
        <is>
          <t>Jugador 3</t>
        </is>
      </c>
      <c r="B163" s="8" t="inlineStr">
        <is>
          <t>M18</t>
        </is>
      </c>
      <c r="C163" s="12" t="inlineStr">
        <is>
          <t>Perú</t>
        </is>
      </c>
      <c r="D163" s="12" t="inlineStr">
        <is>
          <t>Chile</t>
        </is>
      </c>
      <c r="E163" s="8" t="n"/>
      <c r="F163" s="8" t="n"/>
      <c r="G163" s="8">
        <f>IF(OR(ISBLANK(E163),ISBLANK(F163)),"",IF(E163&gt;F163,"Local",IF(E163=F163,"Empate","Visitante")))</f>
        <v/>
      </c>
      <c r="H163" s="8">
        <f>IF(VLOOKUP(B163,PARTIDOS!$A:$I,9,FALSE)="Cerrado",IF(G163=VLOOKUP(B163,PARTIDOS!$A:$I,8,FALSE),IF(AND(E163=VLOOKUP(B163,PARTIDOS!$A:$I,6,FALSE),F163=VLOOKUP(B163,PARTIDOS!$A:$I,7,FALSE)),3,1),0),"")</f>
        <v/>
      </c>
    </row>
    <row r="164" ht="20.1" customHeight="1">
      <c r="A164" s="12" t="inlineStr">
        <is>
          <t>Jugador 3</t>
        </is>
      </c>
      <c r="B164" s="8" t="inlineStr">
        <is>
          <t>M19</t>
        </is>
      </c>
      <c r="C164" s="12" t="inlineStr">
        <is>
          <t>España</t>
        </is>
      </c>
      <c r="D164" s="12" t="inlineStr">
        <is>
          <t>Francia</t>
        </is>
      </c>
      <c r="E164" s="8" t="n"/>
      <c r="F164" s="8" t="n"/>
      <c r="G164" s="8">
        <f>IF(OR(ISBLANK(E164),ISBLANK(F164)),"",IF(E164&gt;F164,"Local",IF(E164=F164,"Empate","Visitante")))</f>
        <v/>
      </c>
      <c r="H164" s="8">
        <f>IF(VLOOKUP(B164,PARTIDOS!$A:$I,9,FALSE)="Cerrado",IF(G164=VLOOKUP(B164,PARTIDOS!$A:$I,8,FALSE),IF(AND(E164=VLOOKUP(B164,PARTIDOS!$A:$I,6,FALSE),F164=VLOOKUP(B164,PARTIDOS!$A:$I,7,FALSE)),3,1),0),"")</f>
        <v/>
      </c>
    </row>
    <row r="165" ht="20.1" customHeight="1">
      <c r="A165" s="12" t="inlineStr">
        <is>
          <t>Jugador 3</t>
        </is>
      </c>
      <c r="B165" s="8" t="inlineStr">
        <is>
          <t>M20</t>
        </is>
      </c>
      <c r="C165" s="12" t="inlineStr">
        <is>
          <t>Inglaterra</t>
        </is>
      </c>
      <c r="D165" s="12" t="inlineStr">
        <is>
          <t>Alemania</t>
        </is>
      </c>
      <c r="E165" s="8" t="n"/>
      <c r="F165" s="8" t="n"/>
      <c r="G165" s="8">
        <f>IF(OR(ISBLANK(E165),ISBLANK(F165)),"",IF(E165&gt;F165,"Local",IF(E165=F165,"Empate","Visitante")))</f>
        <v/>
      </c>
      <c r="H165" s="8">
        <f>IF(VLOOKUP(B165,PARTIDOS!$A:$I,9,FALSE)="Cerrado",IF(G165=VLOOKUP(B165,PARTIDOS!$A:$I,8,FALSE),IF(AND(E165=VLOOKUP(B165,PARTIDOS!$A:$I,6,FALSE),F165=VLOOKUP(B165,PARTIDOS!$A:$I,7,FALSE)),3,1),0),"")</f>
        <v/>
      </c>
    </row>
    <row r="166" ht="20.1" customHeight="1">
      <c r="A166" s="12" t="inlineStr">
        <is>
          <t>Jugador 3</t>
        </is>
      </c>
      <c r="B166" s="8" t="inlineStr">
        <is>
          <t>M21</t>
        </is>
      </c>
      <c r="C166" s="12" t="inlineStr">
        <is>
          <t>España</t>
        </is>
      </c>
      <c r="D166" s="12" t="inlineStr">
        <is>
          <t>Inglaterra</t>
        </is>
      </c>
      <c r="E166" s="8" t="n"/>
      <c r="F166" s="8" t="n"/>
      <c r="G166" s="8">
        <f>IF(OR(ISBLANK(E166),ISBLANK(F166)),"",IF(E166&gt;F166,"Local",IF(E166=F166,"Empate","Visitante")))</f>
        <v/>
      </c>
      <c r="H166" s="8">
        <f>IF(VLOOKUP(B166,PARTIDOS!$A:$I,9,FALSE)="Cerrado",IF(G166=VLOOKUP(B166,PARTIDOS!$A:$I,8,FALSE),IF(AND(E166=VLOOKUP(B166,PARTIDOS!$A:$I,6,FALSE),F166=VLOOKUP(B166,PARTIDOS!$A:$I,7,FALSE)),3,1),0),"")</f>
        <v/>
      </c>
    </row>
    <row r="167" ht="20.1" customHeight="1">
      <c r="A167" s="12" t="inlineStr">
        <is>
          <t>Jugador 3</t>
        </is>
      </c>
      <c r="B167" s="8" t="inlineStr">
        <is>
          <t>M22</t>
        </is>
      </c>
      <c r="C167" s="12" t="inlineStr">
        <is>
          <t>Francia</t>
        </is>
      </c>
      <c r="D167" s="12" t="inlineStr">
        <is>
          <t>Alemania</t>
        </is>
      </c>
      <c r="E167" s="8" t="n"/>
      <c r="F167" s="8" t="n"/>
      <c r="G167" s="8">
        <f>IF(OR(ISBLANK(E167),ISBLANK(F167)),"",IF(E167&gt;F167,"Local",IF(E167=F167,"Empate","Visitante")))</f>
        <v/>
      </c>
      <c r="H167" s="8">
        <f>IF(VLOOKUP(B167,PARTIDOS!$A:$I,9,FALSE)="Cerrado",IF(G167=VLOOKUP(B167,PARTIDOS!$A:$I,8,FALSE),IF(AND(E167=VLOOKUP(B167,PARTIDOS!$A:$I,6,FALSE),F167=VLOOKUP(B167,PARTIDOS!$A:$I,7,FALSE)),3,1),0),"")</f>
        <v/>
      </c>
    </row>
    <row r="168" ht="20.1" customHeight="1">
      <c r="A168" s="12" t="inlineStr">
        <is>
          <t>Jugador 3</t>
        </is>
      </c>
      <c r="B168" s="8" t="inlineStr">
        <is>
          <t>M23</t>
        </is>
      </c>
      <c r="C168" s="12" t="inlineStr">
        <is>
          <t>España</t>
        </is>
      </c>
      <c r="D168" s="12" t="inlineStr">
        <is>
          <t>Alemania</t>
        </is>
      </c>
      <c r="E168" s="8" t="n"/>
      <c r="F168" s="8" t="n"/>
      <c r="G168" s="8">
        <f>IF(OR(ISBLANK(E168),ISBLANK(F168)),"",IF(E168&gt;F168,"Local",IF(E168=F168,"Empate","Visitante")))</f>
        <v/>
      </c>
      <c r="H168" s="8">
        <f>IF(VLOOKUP(B168,PARTIDOS!$A:$I,9,FALSE)="Cerrado",IF(G168=VLOOKUP(B168,PARTIDOS!$A:$I,8,FALSE),IF(AND(E168=VLOOKUP(B168,PARTIDOS!$A:$I,6,FALSE),F168=VLOOKUP(B168,PARTIDOS!$A:$I,7,FALSE)),3,1),0),"")</f>
        <v/>
      </c>
    </row>
    <row r="169" ht="20.1" customHeight="1">
      <c r="A169" s="12" t="inlineStr">
        <is>
          <t>Jugador 3</t>
        </is>
      </c>
      <c r="B169" s="8" t="inlineStr">
        <is>
          <t>M24</t>
        </is>
      </c>
      <c r="C169" s="12" t="inlineStr">
        <is>
          <t>Francia</t>
        </is>
      </c>
      <c r="D169" s="12" t="inlineStr">
        <is>
          <t>Inglaterra</t>
        </is>
      </c>
      <c r="E169" s="8" t="n"/>
      <c r="F169" s="8" t="n"/>
      <c r="G169" s="8">
        <f>IF(OR(ISBLANK(E169),ISBLANK(F169)),"",IF(E169&gt;F169,"Local",IF(E169=F169,"Empate","Visitante")))</f>
        <v/>
      </c>
      <c r="H169" s="8">
        <f>IF(VLOOKUP(B169,PARTIDOS!$A:$I,9,FALSE)="Cerrado",IF(G169=VLOOKUP(B169,PARTIDOS!$A:$I,8,FALSE),IF(AND(E169=VLOOKUP(B169,PARTIDOS!$A:$I,6,FALSE),F169=VLOOKUP(B169,PARTIDOS!$A:$I,7,FALSE)),3,1),0),"")</f>
        <v/>
      </c>
    </row>
    <row r="170" ht="20.1" customHeight="1">
      <c r="A170" s="12" t="inlineStr">
        <is>
          <t>Jugador 3</t>
        </is>
      </c>
      <c r="B170" s="8" t="inlineStr">
        <is>
          <t>M25</t>
        </is>
      </c>
      <c r="C170" s="12" t="inlineStr">
        <is>
          <t>Portugal</t>
        </is>
      </c>
      <c r="D170" s="12" t="inlineStr">
        <is>
          <t>Bélgica</t>
        </is>
      </c>
      <c r="E170" s="8" t="n"/>
      <c r="F170" s="8" t="n"/>
      <c r="G170" s="8">
        <f>IF(OR(ISBLANK(E170),ISBLANK(F170)),"",IF(E170&gt;F170,"Local",IF(E170=F170,"Empate","Visitante")))</f>
        <v/>
      </c>
      <c r="H170" s="8">
        <f>IF(VLOOKUP(B170,PARTIDOS!$A:$I,9,FALSE)="Cerrado",IF(G170=VLOOKUP(B170,PARTIDOS!$A:$I,8,FALSE),IF(AND(E170=VLOOKUP(B170,PARTIDOS!$A:$I,6,FALSE),F170=VLOOKUP(B170,PARTIDOS!$A:$I,7,FALSE)),3,1),0),"")</f>
        <v/>
      </c>
    </row>
    <row r="171" ht="20.1" customHeight="1">
      <c r="A171" s="12" t="inlineStr">
        <is>
          <t>Jugador 3</t>
        </is>
      </c>
      <c r="B171" s="8" t="inlineStr">
        <is>
          <t>M26</t>
        </is>
      </c>
      <c r="C171" s="12" t="inlineStr">
        <is>
          <t>Países Bajos</t>
        </is>
      </c>
      <c r="D171" s="12" t="inlineStr">
        <is>
          <t>Italia</t>
        </is>
      </c>
      <c r="E171" s="8" t="n"/>
      <c r="F171" s="8" t="n"/>
      <c r="G171" s="8">
        <f>IF(OR(ISBLANK(E171),ISBLANK(F171)),"",IF(E171&gt;F171,"Local",IF(E171=F171,"Empate","Visitante")))</f>
        <v/>
      </c>
      <c r="H171" s="8">
        <f>IF(VLOOKUP(B171,PARTIDOS!$A:$I,9,FALSE)="Cerrado",IF(G171=VLOOKUP(B171,PARTIDOS!$A:$I,8,FALSE),IF(AND(E171=VLOOKUP(B171,PARTIDOS!$A:$I,6,FALSE),F171=VLOOKUP(B171,PARTIDOS!$A:$I,7,FALSE)),3,1),0),"")</f>
        <v/>
      </c>
    </row>
    <row r="172" ht="20.1" customHeight="1">
      <c r="A172" s="12" t="inlineStr">
        <is>
          <t>Jugador 3</t>
        </is>
      </c>
      <c r="B172" s="8" t="inlineStr">
        <is>
          <t>M27</t>
        </is>
      </c>
      <c r="C172" s="12" t="inlineStr">
        <is>
          <t>Portugal</t>
        </is>
      </c>
      <c r="D172" s="12" t="inlineStr">
        <is>
          <t>Países Bajos</t>
        </is>
      </c>
      <c r="E172" s="8" t="n"/>
      <c r="F172" s="8" t="n"/>
      <c r="G172" s="8">
        <f>IF(OR(ISBLANK(E172),ISBLANK(F172)),"",IF(E172&gt;F172,"Local",IF(E172=F172,"Empate","Visitante")))</f>
        <v/>
      </c>
      <c r="H172" s="8">
        <f>IF(VLOOKUP(B172,PARTIDOS!$A:$I,9,FALSE)="Cerrado",IF(G172=VLOOKUP(B172,PARTIDOS!$A:$I,8,FALSE),IF(AND(E172=VLOOKUP(B172,PARTIDOS!$A:$I,6,FALSE),F172=VLOOKUP(B172,PARTIDOS!$A:$I,7,FALSE)),3,1),0),"")</f>
        <v/>
      </c>
    </row>
    <row r="173" ht="20.1" customHeight="1">
      <c r="A173" s="12" t="inlineStr">
        <is>
          <t>Jugador 3</t>
        </is>
      </c>
      <c r="B173" s="8" t="inlineStr">
        <is>
          <t>M28</t>
        </is>
      </c>
      <c r="C173" s="12" t="inlineStr">
        <is>
          <t>Bélgica</t>
        </is>
      </c>
      <c r="D173" s="12" t="inlineStr">
        <is>
          <t>Italia</t>
        </is>
      </c>
      <c r="E173" s="8" t="n"/>
      <c r="F173" s="8" t="n"/>
      <c r="G173" s="8">
        <f>IF(OR(ISBLANK(E173),ISBLANK(F173)),"",IF(E173&gt;F173,"Local",IF(E173=F173,"Empate","Visitante")))</f>
        <v/>
      </c>
      <c r="H173" s="8">
        <f>IF(VLOOKUP(B173,PARTIDOS!$A:$I,9,FALSE)="Cerrado",IF(G173=VLOOKUP(B173,PARTIDOS!$A:$I,8,FALSE),IF(AND(E173=VLOOKUP(B173,PARTIDOS!$A:$I,6,FALSE),F173=VLOOKUP(B173,PARTIDOS!$A:$I,7,FALSE)),3,1),0),"")</f>
        <v/>
      </c>
    </row>
    <row r="174" ht="20.1" customHeight="1">
      <c r="A174" s="12" t="inlineStr">
        <is>
          <t>Jugador 3</t>
        </is>
      </c>
      <c r="B174" s="8" t="inlineStr">
        <is>
          <t>M29</t>
        </is>
      </c>
      <c r="C174" s="12" t="inlineStr">
        <is>
          <t>Portugal</t>
        </is>
      </c>
      <c r="D174" s="12" t="inlineStr">
        <is>
          <t>Italia</t>
        </is>
      </c>
      <c r="E174" s="8" t="n"/>
      <c r="F174" s="8" t="n"/>
      <c r="G174" s="8">
        <f>IF(OR(ISBLANK(E174),ISBLANK(F174)),"",IF(E174&gt;F174,"Local",IF(E174=F174,"Empate","Visitante")))</f>
        <v/>
      </c>
      <c r="H174" s="8">
        <f>IF(VLOOKUP(B174,PARTIDOS!$A:$I,9,FALSE)="Cerrado",IF(G174=VLOOKUP(B174,PARTIDOS!$A:$I,8,FALSE),IF(AND(E174=VLOOKUP(B174,PARTIDOS!$A:$I,6,FALSE),F174=VLOOKUP(B174,PARTIDOS!$A:$I,7,FALSE)),3,1),0),"")</f>
        <v/>
      </c>
    </row>
    <row r="175" ht="20.1" customHeight="1">
      <c r="A175" s="12" t="inlineStr">
        <is>
          <t>Jugador 3</t>
        </is>
      </c>
      <c r="B175" s="8" t="inlineStr">
        <is>
          <t>M30</t>
        </is>
      </c>
      <c r="C175" s="12" t="inlineStr">
        <is>
          <t>Bélgica</t>
        </is>
      </c>
      <c r="D175" s="12" t="inlineStr">
        <is>
          <t>Países Bajos</t>
        </is>
      </c>
      <c r="E175" s="8" t="n"/>
      <c r="F175" s="8" t="n"/>
      <c r="G175" s="8">
        <f>IF(OR(ISBLANK(E175),ISBLANK(F175)),"",IF(E175&gt;F175,"Local",IF(E175=F175,"Empate","Visitante")))</f>
        <v/>
      </c>
      <c r="H175" s="8">
        <f>IF(VLOOKUP(B175,PARTIDOS!$A:$I,9,FALSE)="Cerrado",IF(G175=VLOOKUP(B175,PARTIDOS!$A:$I,8,FALSE),IF(AND(E175=VLOOKUP(B175,PARTIDOS!$A:$I,6,FALSE),F175=VLOOKUP(B175,PARTIDOS!$A:$I,7,FALSE)),3,1),0),"")</f>
        <v/>
      </c>
    </row>
    <row r="176" ht="20.1" customHeight="1">
      <c r="A176" s="12" t="inlineStr">
        <is>
          <t>Jugador 3</t>
        </is>
      </c>
      <c r="B176" s="8" t="inlineStr">
        <is>
          <t>M31</t>
        </is>
      </c>
      <c r="C176" s="12" t="inlineStr">
        <is>
          <t>Croacia</t>
        </is>
      </c>
      <c r="D176" s="12" t="inlineStr">
        <is>
          <t>Suiza</t>
        </is>
      </c>
      <c r="E176" s="8" t="n"/>
      <c r="F176" s="8" t="n"/>
      <c r="G176" s="8">
        <f>IF(OR(ISBLANK(E176),ISBLANK(F176)),"",IF(E176&gt;F176,"Local",IF(E176=F176,"Empate","Visitante")))</f>
        <v/>
      </c>
      <c r="H176" s="8">
        <f>IF(VLOOKUP(B176,PARTIDOS!$A:$I,9,FALSE)="Cerrado",IF(G176=VLOOKUP(B176,PARTIDOS!$A:$I,8,FALSE),IF(AND(E176=VLOOKUP(B176,PARTIDOS!$A:$I,6,FALSE),F176=VLOOKUP(B176,PARTIDOS!$A:$I,7,FALSE)),3,1),0),"")</f>
        <v/>
      </c>
    </row>
    <row r="177" ht="20.1" customHeight="1">
      <c r="A177" s="12" t="inlineStr">
        <is>
          <t>Jugador 3</t>
        </is>
      </c>
      <c r="B177" s="8" t="inlineStr">
        <is>
          <t>M32</t>
        </is>
      </c>
      <c r="C177" s="12" t="inlineStr">
        <is>
          <t>Dinamarca</t>
        </is>
      </c>
      <c r="D177" s="12" t="inlineStr">
        <is>
          <t>Serbia</t>
        </is>
      </c>
      <c r="E177" s="8" t="n"/>
      <c r="F177" s="8" t="n"/>
      <c r="G177" s="8">
        <f>IF(OR(ISBLANK(E177),ISBLANK(F177)),"",IF(E177&gt;F177,"Local",IF(E177=F177,"Empate","Visitante")))</f>
        <v/>
      </c>
      <c r="H177" s="8">
        <f>IF(VLOOKUP(B177,PARTIDOS!$A:$I,9,FALSE)="Cerrado",IF(G177=VLOOKUP(B177,PARTIDOS!$A:$I,8,FALSE),IF(AND(E177=VLOOKUP(B177,PARTIDOS!$A:$I,6,FALSE),F177=VLOOKUP(B177,PARTIDOS!$A:$I,7,FALSE)),3,1),0),"")</f>
        <v/>
      </c>
    </row>
    <row r="178" ht="20.1" customHeight="1">
      <c r="A178" s="12" t="inlineStr">
        <is>
          <t>Jugador 3</t>
        </is>
      </c>
      <c r="B178" s="8" t="inlineStr">
        <is>
          <t>M33</t>
        </is>
      </c>
      <c r="C178" s="12" t="inlineStr">
        <is>
          <t>Croacia</t>
        </is>
      </c>
      <c r="D178" s="12" t="inlineStr">
        <is>
          <t>Dinamarca</t>
        </is>
      </c>
      <c r="E178" s="8" t="n"/>
      <c r="F178" s="8" t="n"/>
      <c r="G178" s="8">
        <f>IF(OR(ISBLANK(E178),ISBLANK(F178)),"",IF(E178&gt;F178,"Local",IF(E178=F178,"Empate","Visitante")))</f>
        <v/>
      </c>
      <c r="H178" s="8">
        <f>IF(VLOOKUP(B178,PARTIDOS!$A:$I,9,FALSE)="Cerrado",IF(G178=VLOOKUP(B178,PARTIDOS!$A:$I,8,FALSE),IF(AND(E178=VLOOKUP(B178,PARTIDOS!$A:$I,6,FALSE),F178=VLOOKUP(B178,PARTIDOS!$A:$I,7,FALSE)),3,1),0),"")</f>
        <v/>
      </c>
    </row>
    <row r="179" ht="20.1" customHeight="1">
      <c r="A179" s="12" t="inlineStr">
        <is>
          <t>Jugador 3</t>
        </is>
      </c>
      <c r="B179" s="8" t="inlineStr">
        <is>
          <t>M34</t>
        </is>
      </c>
      <c r="C179" s="12" t="inlineStr">
        <is>
          <t>Suiza</t>
        </is>
      </c>
      <c r="D179" s="12" t="inlineStr">
        <is>
          <t>Serbia</t>
        </is>
      </c>
      <c r="E179" s="8" t="n"/>
      <c r="F179" s="8" t="n"/>
      <c r="G179" s="8">
        <f>IF(OR(ISBLANK(E179),ISBLANK(F179)),"",IF(E179&gt;F179,"Local",IF(E179=F179,"Empate","Visitante")))</f>
        <v/>
      </c>
      <c r="H179" s="8">
        <f>IF(VLOOKUP(B179,PARTIDOS!$A:$I,9,FALSE)="Cerrado",IF(G179=VLOOKUP(B179,PARTIDOS!$A:$I,8,FALSE),IF(AND(E179=VLOOKUP(B179,PARTIDOS!$A:$I,6,FALSE),F179=VLOOKUP(B179,PARTIDOS!$A:$I,7,FALSE)),3,1),0),"")</f>
        <v/>
      </c>
    </row>
    <row r="180" ht="20.1" customHeight="1">
      <c r="A180" s="12" t="inlineStr">
        <is>
          <t>Jugador 3</t>
        </is>
      </c>
      <c r="B180" s="8" t="inlineStr">
        <is>
          <t>M35</t>
        </is>
      </c>
      <c r="C180" s="12" t="inlineStr">
        <is>
          <t>Croacia</t>
        </is>
      </c>
      <c r="D180" s="12" t="inlineStr">
        <is>
          <t>Serbia</t>
        </is>
      </c>
      <c r="E180" s="8" t="n"/>
      <c r="F180" s="8" t="n"/>
      <c r="G180" s="8">
        <f>IF(OR(ISBLANK(E180),ISBLANK(F180)),"",IF(E180&gt;F180,"Local",IF(E180=F180,"Empate","Visitante")))</f>
        <v/>
      </c>
      <c r="H180" s="8">
        <f>IF(VLOOKUP(B180,PARTIDOS!$A:$I,9,FALSE)="Cerrado",IF(G180=VLOOKUP(B180,PARTIDOS!$A:$I,8,FALSE),IF(AND(E180=VLOOKUP(B180,PARTIDOS!$A:$I,6,FALSE),F180=VLOOKUP(B180,PARTIDOS!$A:$I,7,FALSE)),3,1),0),"")</f>
        <v/>
      </c>
    </row>
    <row r="181" ht="20.1" customHeight="1">
      <c r="A181" s="12" t="inlineStr">
        <is>
          <t>Jugador 3</t>
        </is>
      </c>
      <c r="B181" s="8" t="inlineStr">
        <is>
          <t>M36</t>
        </is>
      </c>
      <c r="C181" s="12" t="inlineStr">
        <is>
          <t>Suiza</t>
        </is>
      </c>
      <c r="D181" s="12" t="inlineStr">
        <is>
          <t>Dinamarca</t>
        </is>
      </c>
      <c r="E181" s="8" t="n"/>
      <c r="F181" s="8" t="n"/>
      <c r="G181" s="8">
        <f>IF(OR(ISBLANK(E181),ISBLANK(F181)),"",IF(E181&gt;F181,"Local",IF(E181=F181,"Empate","Visitante")))</f>
        <v/>
      </c>
      <c r="H181" s="8">
        <f>IF(VLOOKUP(B181,PARTIDOS!$A:$I,9,FALSE)="Cerrado",IF(G181=VLOOKUP(B181,PARTIDOS!$A:$I,8,FALSE),IF(AND(E181=VLOOKUP(B181,PARTIDOS!$A:$I,6,FALSE),F181=VLOOKUP(B181,PARTIDOS!$A:$I,7,FALSE)),3,1),0),"")</f>
        <v/>
      </c>
    </row>
    <row r="182" ht="20.1" customHeight="1">
      <c r="A182" s="12" t="inlineStr">
        <is>
          <t>Jugador 3</t>
        </is>
      </c>
      <c r="B182" s="8" t="inlineStr">
        <is>
          <t>M37</t>
        </is>
      </c>
      <c r="C182" s="12" t="inlineStr">
        <is>
          <t>Polonia</t>
        </is>
      </c>
      <c r="D182" s="12" t="inlineStr">
        <is>
          <t>Ucrania</t>
        </is>
      </c>
      <c r="E182" s="8" t="n"/>
      <c r="F182" s="8" t="n"/>
      <c r="G182" s="8">
        <f>IF(OR(ISBLANK(E182),ISBLANK(F182)),"",IF(E182&gt;F182,"Local",IF(E182=F182,"Empate","Visitante")))</f>
        <v/>
      </c>
      <c r="H182" s="8">
        <f>IF(VLOOKUP(B182,PARTIDOS!$A:$I,9,FALSE)="Cerrado",IF(G182=VLOOKUP(B182,PARTIDOS!$A:$I,8,FALSE),IF(AND(E182=VLOOKUP(B182,PARTIDOS!$A:$I,6,FALSE),F182=VLOOKUP(B182,PARTIDOS!$A:$I,7,FALSE)),3,1),0),"")</f>
        <v/>
      </c>
    </row>
    <row r="183" ht="20.1" customHeight="1">
      <c r="A183" s="12" t="inlineStr">
        <is>
          <t>Jugador 3</t>
        </is>
      </c>
      <c r="B183" s="8" t="inlineStr">
        <is>
          <t>M38</t>
        </is>
      </c>
      <c r="C183" s="12" t="inlineStr">
        <is>
          <t>Suecia</t>
        </is>
      </c>
      <c r="D183" s="12" t="inlineStr">
        <is>
          <t>Gales</t>
        </is>
      </c>
      <c r="E183" s="8" t="n"/>
      <c r="F183" s="8" t="n"/>
      <c r="G183" s="8">
        <f>IF(OR(ISBLANK(E183),ISBLANK(F183)),"",IF(E183&gt;F183,"Local",IF(E183=F183,"Empate","Visitante")))</f>
        <v/>
      </c>
      <c r="H183" s="8">
        <f>IF(VLOOKUP(B183,PARTIDOS!$A:$I,9,FALSE)="Cerrado",IF(G183=VLOOKUP(B183,PARTIDOS!$A:$I,8,FALSE),IF(AND(E183=VLOOKUP(B183,PARTIDOS!$A:$I,6,FALSE),F183=VLOOKUP(B183,PARTIDOS!$A:$I,7,FALSE)),3,1),0),"")</f>
        <v/>
      </c>
    </row>
    <row r="184" ht="20.1" customHeight="1">
      <c r="A184" s="12" t="inlineStr">
        <is>
          <t>Jugador 3</t>
        </is>
      </c>
      <c r="B184" s="8" t="inlineStr">
        <is>
          <t>M39</t>
        </is>
      </c>
      <c r="C184" s="12" t="inlineStr">
        <is>
          <t>Polonia</t>
        </is>
      </c>
      <c r="D184" s="12" t="inlineStr">
        <is>
          <t>Suecia</t>
        </is>
      </c>
      <c r="E184" s="8" t="n"/>
      <c r="F184" s="8" t="n"/>
      <c r="G184" s="8">
        <f>IF(OR(ISBLANK(E184),ISBLANK(F184)),"",IF(E184&gt;F184,"Local",IF(E184=F184,"Empate","Visitante")))</f>
        <v/>
      </c>
      <c r="H184" s="8">
        <f>IF(VLOOKUP(B184,PARTIDOS!$A:$I,9,FALSE)="Cerrado",IF(G184=VLOOKUP(B184,PARTIDOS!$A:$I,8,FALSE),IF(AND(E184=VLOOKUP(B184,PARTIDOS!$A:$I,6,FALSE),F184=VLOOKUP(B184,PARTIDOS!$A:$I,7,FALSE)),3,1),0),"")</f>
        <v/>
      </c>
    </row>
    <row r="185" ht="20.1" customHeight="1">
      <c r="A185" s="12" t="inlineStr">
        <is>
          <t>Jugador 3</t>
        </is>
      </c>
      <c r="B185" s="8" t="inlineStr">
        <is>
          <t>M40</t>
        </is>
      </c>
      <c r="C185" s="12" t="inlineStr">
        <is>
          <t>Ucrania</t>
        </is>
      </c>
      <c r="D185" s="12" t="inlineStr">
        <is>
          <t>Gales</t>
        </is>
      </c>
      <c r="E185" s="8" t="n"/>
      <c r="F185" s="8" t="n"/>
      <c r="G185" s="8">
        <f>IF(OR(ISBLANK(E185),ISBLANK(F185)),"",IF(E185&gt;F185,"Local",IF(E185=F185,"Empate","Visitante")))</f>
        <v/>
      </c>
      <c r="H185" s="8">
        <f>IF(VLOOKUP(B185,PARTIDOS!$A:$I,9,FALSE)="Cerrado",IF(G185=VLOOKUP(B185,PARTIDOS!$A:$I,8,FALSE),IF(AND(E185=VLOOKUP(B185,PARTIDOS!$A:$I,6,FALSE),F185=VLOOKUP(B185,PARTIDOS!$A:$I,7,FALSE)),3,1),0),"")</f>
        <v/>
      </c>
    </row>
    <row r="186" ht="20.1" customHeight="1">
      <c r="A186" s="12" t="inlineStr">
        <is>
          <t>Jugador 3</t>
        </is>
      </c>
      <c r="B186" s="8" t="inlineStr">
        <is>
          <t>M41</t>
        </is>
      </c>
      <c r="C186" s="12" t="inlineStr">
        <is>
          <t>Polonia</t>
        </is>
      </c>
      <c r="D186" s="12" t="inlineStr">
        <is>
          <t>Gales</t>
        </is>
      </c>
      <c r="E186" s="8" t="n"/>
      <c r="F186" s="8" t="n"/>
      <c r="G186" s="8">
        <f>IF(OR(ISBLANK(E186),ISBLANK(F186)),"",IF(E186&gt;F186,"Local",IF(E186=F186,"Empate","Visitante")))</f>
        <v/>
      </c>
      <c r="H186" s="8">
        <f>IF(VLOOKUP(B186,PARTIDOS!$A:$I,9,FALSE)="Cerrado",IF(G186=VLOOKUP(B186,PARTIDOS!$A:$I,8,FALSE),IF(AND(E186=VLOOKUP(B186,PARTIDOS!$A:$I,6,FALSE),F186=VLOOKUP(B186,PARTIDOS!$A:$I,7,FALSE)),3,1),0),"")</f>
        <v/>
      </c>
    </row>
    <row r="187" ht="20.1" customHeight="1">
      <c r="A187" s="12" t="inlineStr">
        <is>
          <t>Jugador 3</t>
        </is>
      </c>
      <c r="B187" s="8" t="inlineStr">
        <is>
          <t>M42</t>
        </is>
      </c>
      <c r="C187" s="12" t="inlineStr">
        <is>
          <t>Ucrania</t>
        </is>
      </c>
      <c r="D187" s="12" t="inlineStr">
        <is>
          <t>Suecia</t>
        </is>
      </c>
      <c r="E187" s="8" t="n"/>
      <c r="F187" s="8" t="n"/>
      <c r="G187" s="8">
        <f>IF(OR(ISBLANK(E187),ISBLANK(F187)),"",IF(E187&gt;F187,"Local",IF(E187=F187,"Empate","Visitante")))</f>
        <v/>
      </c>
      <c r="H187" s="8">
        <f>IF(VLOOKUP(B187,PARTIDOS!$A:$I,9,FALSE)="Cerrado",IF(G187=VLOOKUP(B187,PARTIDOS!$A:$I,8,FALSE),IF(AND(E187=VLOOKUP(B187,PARTIDOS!$A:$I,6,FALSE),F187=VLOOKUP(B187,PARTIDOS!$A:$I,7,FALSE)),3,1),0),"")</f>
        <v/>
      </c>
    </row>
    <row r="188" ht="20.1" customHeight="1">
      <c r="A188" s="12" t="inlineStr">
        <is>
          <t>Jugador 3</t>
        </is>
      </c>
      <c r="B188" s="8" t="inlineStr">
        <is>
          <t>M43</t>
        </is>
      </c>
      <c r="C188" s="12" t="inlineStr">
        <is>
          <t>Austria</t>
        </is>
      </c>
      <c r="D188" s="12" t="inlineStr">
        <is>
          <t>Hungría</t>
        </is>
      </c>
      <c r="E188" s="8" t="n"/>
      <c r="F188" s="8" t="n"/>
      <c r="G188" s="8">
        <f>IF(OR(ISBLANK(E188),ISBLANK(F188)),"",IF(E188&gt;F188,"Local",IF(E188=F188,"Empate","Visitante")))</f>
        <v/>
      </c>
      <c r="H188" s="8">
        <f>IF(VLOOKUP(B188,PARTIDOS!$A:$I,9,FALSE)="Cerrado",IF(G188=VLOOKUP(B188,PARTIDOS!$A:$I,8,FALSE),IF(AND(E188=VLOOKUP(B188,PARTIDOS!$A:$I,6,FALSE),F188=VLOOKUP(B188,PARTIDOS!$A:$I,7,FALSE)),3,1),0),"")</f>
        <v/>
      </c>
    </row>
    <row r="189" ht="20.1" customHeight="1">
      <c r="A189" s="12" t="inlineStr">
        <is>
          <t>Jugador 3</t>
        </is>
      </c>
      <c r="B189" s="8" t="inlineStr">
        <is>
          <t>M44</t>
        </is>
      </c>
      <c r="C189" s="12" t="inlineStr">
        <is>
          <t>Turquía</t>
        </is>
      </c>
      <c r="D189" s="12" t="inlineStr">
        <is>
          <t>Escocia</t>
        </is>
      </c>
      <c r="E189" s="8" t="n"/>
      <c r="F189" s="8" t="n"/>
      <c r="G189" s="8">
        <f>IF(OR(ISBLANK(E189),ISBLANK(F189)),"",IF(E189&gt;F189,"Local",IF(E189=F189,"Empate","Visitante")))</f>
        <v/>
      </c>
      <c r="H189" s="8">
        <f>IF(VLOOKUP(B189,PARTIDOS!$A:$I,9,FALSE)="Cerrado",IF(G189=VLOOKUP(B189,PARTIDOS!$A:$I,8,FALSE),IF(AND(E189=VLOOKUP(B189,PARTIDOS!$A:$I,6,FALSE),F189=VLOOKUP(B189,PARTIDOS!$A:$I,7,FALSE)),3,1),0),"")</f>
        <v/>
      </c>
    </row>
    <row r="190" ht="20.1" customHeight="1">
      <c r="A190" s="12" t="inlineStr">
        <is>
          <t>Jugador 3</t>
        </is>
      </c>
      <c r="B190" s="8" t="inlineStr">
        <is>
          <t>M45</t>
        </is>
      </c>
      <c r="C190" s="12" t="inlineStr">
        <is>
          <t>Austria</t>
        </is>
      </c>
      <c r="D190" s="12" t="inlineStr">
        <is>
          <t>Turquía</t>
        </is>
      </c>
      <c r="E190" s="8" t="n"/>
      <c r="F190" s="8" t="n"/>
      <c r="G190" s="8">
        <f>IF(OR(ISBLANK(E190),ISBLANK(F190)),"",IF(E190&gt;F190,"Local",IF(E190=F190,"Empate","Visitante")))</f>
        <v/>
      </c>
      <c r="H190" s="8">
        <f>IF(VLOOKUP(B190,PARTIDOS!$A:$I,9,FALSE)="Cerrado",IF(G190=VLOOKUP(B190,PARTIDOS!$A:$I,8,FALSE),IF(AND(E190=VLOOKUP(B190,PARTIDOS!$A:$I,6,FALSE),F190=VLOOKUP(B190,PARTIDOS!$A:$I,7,FALSE)),3,1),0),"")</f>
        <v/>
      </c>
    </row>
    <row r="191" ht="20.1" customHeight="1">
      <c r="A191" s="12" t="inlineStr">
        <is>
          <t>Jugador 3</t>
        </is>
      </c>
      <c r="B191" s="8" t="inlineStr">
        <is>
          <t>M46</t>
        </is>
      </c>
      <c r="C191" s="12" t="inlineStr">
        <is>
          <t>Hungría</t>
        </is>
      </c>
      <c r="D191" s="12" t="inlineStr">
        <is>
          <t>Escocia</t>
        </is>
      </c>
      <c r="E191" s="8" t="n"/>
      <c r="F191" s="8" t="n"/>
      <c r="G191" s="8">
        <f>IF(OR(ISBLANK(E191),ISBLANK(F191)),"",IF(E191&gt;F191,"Local",IF(E191=F191,"Empate","Visitante")))</f>
        <v/>
      </c>
      <c r="H191" s="8">
        <f>IF(VLOOKUP(B191,PARTIDOS!$A:$I,9,FALSE)="Cerrado",IF(G191=VLOOKUP(B191,PARTIDOS!$A:$I,8,FALSE),IF(AND(E191=VLOOKUP(B191,PARTIDOS!$A:$I,6,FALSE),F191=VLOOKUP(B191,PARTIDOS!$A:$I,7,FALSE)),3,1),0),"")</f>
        <v/>
      </c>
    </row>
    <row r="192" ht="20.1" customHeight="1">
      <c r="A192" s="12" t="inlineStr">
        <is>
          <t>Jugador 3</t>
        </is>
      </c>
      <c r="B192" s="8" t="inlineStr">
        <is>
          <t>M47</t>
        </is>
      </c>
      <c r="C192" s="12" t="inlineStr">
        <is>
          <t>Austria</t>
        </is>
      </c>
      <c r="D192" s="12" t="inlineStr">
        <is>
          <t>Escocia</t>
        </is>
      </c>
      <c r="E192" s="8" t="n"/>
      <c r="F192" s="8" t="n"/>
      <c r="G192" s="8">
        <f>IF(OR(ISBLANK(E192),ISBLANK(F192)),"",IF(E192&gt;F192,"Local",IF(E192=F192,"Empate","Visitante")))</f>
        <v/>
      </c>
      <c r="H192" s="8">
        <f>IF(VLOOKUP(B192,PARTIDOS!$A:$I,9,FALSE)="Cerrado",IF(G192=VLOOKUP(B192,PARTIDOS!$A:$I,8,FALSE),IF(AND(E192=VLOOKUP(B192,PARTIDOS!$A:$I,6,FALSE),F192=VLOOKUP(B192,PARTIDOS!$A:$I,7,FALSE)),3,1),0),"")</f>
        <v/>
      </c>
    </row>
    <row r="193" ht="20.1" customHeight="1">
      <c r="A193" s="12" t="inlineStr">
        <is>
          <t>Jugador 3</t>
        </is>
      </c>
      <c r="B193" s="8" t="inlineStr">
        <is>
          <t>M48</t>
        </is>
      </c>
      <c r="C193" s="12" t="inlineStr">
        <is>
          <t>Hungría</t>
        </is>
      </c>
      <c r="D193" s="12" t="inlineStr">
        <is>
          <t>Turquía</t>
        </is>
      </c>
      <c r="E193" s="8" t="n"/>
      <c r="F193" s="8" t="n"/>
      <c r="G193" s="8">
        <f>IF(OR(ISBLANK(E193),ISBLANK(F193)),"",IF(E193&gt;F193,"Local",IF(E193=F193,"Empate","Visitante")))</f>
        <v/>
      </c>
      <c r="H193" s="8">
        <f>IF(VLOOKUP(B193,PARTIDOS!$A:$I,9,FALSE)="Cerrado",IF(G193=VLOOKUP(B193,PARTIDOS!$A:$I,8,FALSE),IF(AND(E193=VLOOKUP(B193,PARTIDOS!$A:$I,6,FALSE),F193=VLOOKUP(B193,PARTIDOS!$A:$I,7,FALSE)),3,1),0),"")</f>
        <v/>
      </c>
    </row>
    <row r="194" ht="20.1" customHeight="1">
      <c r="A194" s="12" t="inlineStr">
        <is>
          <t>Jugador 3</t>
        </is>
      </c>
      <c r="B194" s="8" t="inlineStr">
        <is>
          <t>M49</t>
        </is>
      </c>
      <c r="C194" s="12" t="inlineStr">
        <is>
          <t>República Checa</t>
        </is>
      </c>
      <c r="D194" s="12" t="inlineStr">
        <is>
          <t>Noruega</t>
        </is>
      </c>
      <c r="E194" s="8" t="n"/>
      <c r="F194" s="8" t="n"/>
      <c r="G194" s="8">
        <f>IF(OR(ISBLANK(E194),ISBLANK(F194)),"",IF(E194&gt;F194,"Local",IF(E194=F194,"Empate","Visitante")))</f>
        <v/>
      </c>
      <c r="H194" s="8">
        <f>IF(VLOOKUP(B194,PARTIDOS!$A:$I,9,FALSE)="Cerrado",IF(G194=VLOOKUP(B194,PARTIDOS!$A:$I,8,FALSE),IF(AND(E194=VLOOKUP(B194,PARTIDOS!$A:$I,6,FALSE),F194=VLOOKUP(B194,PARTIDOS!$A:$I,7,FALSE)),3,1),0),"")</f>
        <v/>
      </c>
    </row>
    <row r="195" ht="20.1" customHeight="1">
      <c r="A195" s="12" t="inlineStr">
        <is>
          <t>Jugador 3</t>
        </is>
      </c>
      <c r="B195" s="8" t="inlineStr">
        <is>
          <t>M50</t>
        </is>
      </c>
      <c r="C195" s="12" t="inlineStr">
        <is>
          <t>Japón</t>
        </is>
      </c>
      <c r="D195" s="12" t="inlineStr">
        <is>
          <t>Irán</t>
        </is>
      </c>
      <c r="E195" s="8" t="n"/>
      <c r="F195" s="8" t="n"/>
      <c r="G195" s="8">
        <f>IF(OR(ISBLANK(E195),ISBLANK(F195)),"",IF(E195&gt;F195,"Local",IF(E195=F195,"Empate","Visitante")))</f>
        <v/>
      </c>
      <c r="H195" s="8">
        <f>IF(VLOOKUP(B195,PARTIDOS!$A:$I,9,FALSE)="Cerrado",IF(G195=VLOOKUP(B195,PARTIDOS!$A:$I,8,FALSE),IF(AND(E195=VLOOKUP(B195,PARTIDOS!$A:$I,6,FALSE),F195=VLOOKUP(B195,PARTIDOS!$A:$I,7,FALSE)),3,1),0),"")</f>
        <v/>
      </c>
    </row>
    <row r="196" ht="20.1" customHeight="1">
      <c r="A196" s="12" t="inlineStr">
        <is>
          <t>Jugador 3</t>
        </is>
      </c>
      <c r="B196" s="8" t="inlineStr">
        <is>
          <t>M51</t>
        </is>
      </c>
      <c r="C196" s="12" t="inlineStr">
        <is>
          <t>República Checa</t>
        </is>
      </c>
      <c r="D196" s="12" t="inlineStr">
        <is>
          <t>Japón</t>
        </is>
      </c>
      <c r="E196" s="8" t="n"/>
      <c r="F196" s="8" t="n"/>
      <c r="G196" s="8">
        <f>IF(OR(ISBLANK(E196),ISBLANK(F196)),"",IF(E196&gt;F196,"Local",IF(E196=F196,"Empate","Visitante")))</f>
        <v/>
      </c>
      <c r="H196" s="8">
        <f>IF(VLOOKUP(B196,PARTIDOS!$A:$I,9,FALSE)="Cerrado",IF(G196=VLOOKUP(B196,PARTIDOS!$A:$I,8,FALSE),IF(AND(E196=VLOOKUP(B196,PARTIDOS!$A:$I,6,FALSE),F196=VLOOKUP(B196,PARTIDOS!$A:$I,7,FALSE)),3,1),0),"")</f>
        <v/>
      </c>
    </row>
    <row r="197" ht="20.1" customHeight="1">
      <c r="A197" s="12" t="inlineStr">
        <is>
          <t>Jugador 3</t>
        </is>
      </c>
      <c r="B197" s="8" t="inlineStr">
        <is>
          <t>M52</t>
        </is>
      </c>
      <c r="C197" s="12" t="inlineStr">
        <is>
          <t>Noruega</t>
        </is>
      </c>
      <c r="D197" s="12" t="inlineStr">
        <is>
          <t>Irán</t>
        </is>
      </c>
      <c r="E197" s="8" t="n"/>
      <c r="F197" s="8" t="n"/>
      <c r="G197" s="8">
        <f>IF(OR(ISBLANK(E197),ISBLANK(F197)),"",IF(E197&gt;F197,"Local",IF(E197=F197,"Empate","Visitante")))</f>
        <v/>
      </c>
      <c r="H197" s="8">
        <f>IF(VLOOKUP(B197,PARTIDOS!$A:$I,9,FALSE)="Cerrado",IF(G197=VLOOKUP(B197,PARTIDOS!$A:$I,8,FALSE),IF(AND(E197=VLOOKUP(B197,PARTIDOS!$A:$I,6,FALSE),F197=VLOOKUP(B197,PARTIDOS!$A:$I,7,FALSE)),3,1),0),"")</f>
        <v/>
      </c>
    </row>
    <row r="198" ht="20.1" customHeight="1">
      <c r="A198" s="12" t="inlineStr">
        <is>
          <t>Jugador 3</t>
        </is>
      </c>
      <c r="B198" s="8" t="inlineStr">
        <is>
          <t>M53</t>
        </is>
      </c>
      <c r="C198" s="12" t="inlineStr">
        <is>
          <t>República Checa</t>
        </is>
      </c>
      <c r="D198" s="12" t="inlineStr">
        <is>
          <t>Irán</t>
        </is>
      </c>
      <c r="E198" s="8" t="n"/>
      <c r="F198" s="8" t="n"/>
      <c r="G198" s="8">
        <f>IF(OR(ISBLANK(E198),ISBLANK(F198)),"",IF(E198&gt;F198,"Local",IF(E198=F198,"Empate","Visitante")))</f>
        <v/>
      </c>
      <c r="H198" s="8">
        <f>IF(VLOOKUP(B198,PARTIDOS!$A:$I,9,FALSE)="Cerrado",IF(G198=VLOOKUP(B198,PARTIDOS!$A:$I,8,FALSE),IF(AND(E198=VLOOKUP(B198,PARTIDOS!$A:$I,6,FALSE),F198=VLOOKUP(B198,PARTIDOS!$A:$I,7,FALSE)),3,1),0),"")</f>
        <v/>
      </c>
    </row>
    <row r="199" ht="20.1" customHeight="1">
      <c r="A199" s="12" t="inlineStr">
        <is>
          <t>Jugador 3</t>
        </is>
      </c>
      <c r="B199" s="8" t="inlineStr">
        <is>
          <t>M54</t>
        </is>
      </c>
      <c r="C199" s="12" t="inlineStr">
        <is>
          <t>Noruega</t>
        </is>
      </c>
      <c r="D199" s="12" t="inlineStr">
        <is>
          <t>Japón</t>
        </is>
      </c>
      <c r="E199" s="8" t="n"/>
      <c r="F199" s="8" t="n"/>
      <c r="G199" s="8">
        <f>IF(OR(ISBLANK(E199),ISBLANK(F199)),"",IF(E199&gt;F199,"Local",IF(E199=F199,"Empate","Visitante")))</f>
        <v/>
      </c>
      <c r="H199" s="8">
        <f>IF(VLOOKUP(B199,PARTIDOS!$A:$I,9,FALSE)="Cerrado",IF(G199=VLOOKUP(B199,PARTIDOS!$A:$I,8,FALSE),IF(AND(E199=VLOOKUP(B199,PARTIDOS!$A:$I,6,FALSE),F199=VLOOKUP(B199,PARTIDOS!$A:$I,7,FALSE)),3,1),0),"")</f>
        <v/>
      </c>
    </row>
    <row r="200" ht="20.1" customHeight="1">
      <c r="A200" s="12" t="inlineStr">
        <is>
          <t>Jugador 3</t>
        </is>
      </c>
      <c r="B200" s="8" t="inlineStr">
        <is>
          <t>M55</t>
        </is>
      </c>
      <c r="C200" s="12" t="inlineStr">
        <is>
          <t>Corea del Sur</t>
        </is>
      </c>
      <c r="D200" s="12" t="inlineStr">
        <is>
          <t>Australia</t>
        </is>
      </c>
      <c r="E200" s="8" t="n"/>
      <c r="F200" s="8" t="n"/>
      <c r="G200" s="8">
        <f>IF(OR(ISBLANK(E200),ISBLANK(F200)),"",IF(E200&gt;F200,"Local",IF(E200=F200,"Empate","Visitante")))</f>
        <v/>
      </c>
      <c r="H200" s="8">
        <f>IF(VLOOKUP(B200,PARTIDOS!$A:$I,9,FALSE)="Cerrado",IF(G200=VLOOKUP(B200,PARTIDOS!$A:$I,8,FALSE),IF(AND(E200=VLOOKUP(B200,PARTIDOS!$A:$I,6,FALSE),F200=VLOOKUP(B200,PARTIDOS!$A:$I,7,FALSE)),3,1),0),"")</f>
        <v/>
      </c>
    </row>
    <row r="201" ht="20.1" customHeight="1">
      <c r="A201" s="12" t="inlineStr">
        <is>
          <t>Jugador 3</t>
        </is>
      </c>
      <c r="B201" s="8" t="inlineStr">
        <is>
          <t>M56</t>
        </is>
      </c>
      <c r="C201" s="12" t="inlineStr">
        <is>
          <t>Marruecos</t>
        </is>
      </c>
      <c r="D201" s="12" t="inlineStr">
        <is>
          <t>Senegal</t>
        </is>
      </c>
      <c r="E201" s="8" t="n"/>
      <c r="F201" s="8" t="n"/>
      <c r="G201" s="8">
        <f>IF(OR(ISBLANK(E201),ISBLANK(F201)),"",IF(E201&gt;F201,"Local",IF(E201=F201,"Empate","Visitante")))</f>
        <v/>
      </c>
      <c r="H201" s="8">
        <f>IF(VLOOKUP(B201,PARTIDOS!$A:$I,9,FALSE)="Cerrado",IF(G201=VLOOKUP(B201,PARTIDOS!$A:$I,8,FALSE),IF(AND(E201=VLOOKUP(B201,PARTIDOS!$A:$I,6,FALSE),F201=VLOOKUP(B201,PARTIDOS!$A:$I,7,FALSE)),3,1),0),"")</f>
        <v/>
      </c>
    </row>
    <row r="202" ht="20.1" customHeight="1">
      <c r="A202" s="12" t="inlineStr">
        <is>
          <t>Jugador 3</t>
        </is>
      </c>
      <c r="B202" s="8" t="inlineStr">
        <is>
          <t>M57</t>
        </is>
      </c>
      <c r="C202" s="12" t="inlineStr">
        <is>
          <t>Corea del Sur</t>
        </is>
      </c>
      <c r="D202" s="12" t="inlineStr">
        <is>
          <t>Marruecos</t>
        </is>
      </c>
      <c r="E202" s="8" t="n"/>
      <c r="F202" s="8" t="n"/>
      <c r="G202" s="8">
        <f>IF(OR(ISBLANK(E202),ISBLANK(F202)),"",IF(E202&gt;F202,"Local",IF(E202=F202,"Empate","Visitante")))</f>
        <v/>
      </c>
      <c r="H202" s="8">
        <f>IF(VLOOKUP(B202,PARTIDOS!$A:$I,9,FALSE)="Cerrado",IF(G202=VLOOKUP(B202,PARTIDOS!$A:$I,8,FALSE),IF(AND(E202=VLOOKUP(B202,PARTIDOS!$A:$I,6,FALSE),F202=VLOOKUP(B202,PARTIDOS!$A:$I,7,FALSE)),3,1),0),"")</f>
        <v/>
      </c>
    </row>
    <row r="203" ht="20.1" customHeight="1">
      <c r="A203" s="12" t="inlineStr">
        <is>
          <t>Jugador 3</t>
        </is>
      </c>
      <c r="B203" s="8" t="inlineStr">
        <is>
          <t>M58</t>
        </is>
      </c>
      <c r="C203" s="12" t="inlineStr">
        <is>
          <t>Australia</t>
        </is>
      </c>
      <c r="D203" s="12" t="inlineStr">
        <is>
          <t>Senegal</t>
        </is>
      </c>
      <c r="E203" s="8" t="n"/>
      <c r="F203" s="8" t="n"/>
      <c r="G203" s="8">
        <f>IF(OR(ISBLANK(E203),ISBLANK(F203)),"",IF(E203&gt;F203,"Local",IF(E203=F203,"Empate","Visitante")))</f>
        <v/>
      </c>
      <c r="H203" s="8">
        <f>IF(VLOOKUP(B203,PARTIDOS!$A:$I,9,FALSE)="Cerrado",IF(G203=VLOOKUP(B203,PARTIDOS!$A:$I,8,FALSE),IF(AND(E203=VLOOKUP(B203,PARTIDOS!$A:$I,6,FALSE),F203=VLOOKUP(B203,PARTIDOS!$A:$I,7,FALSE)),3,1),0),"")</f>
        <v/>
      </c>
    </row>
    <row r="204" ht="20.1" customHeight="1">
      <c r="A204" s="12" t="inlineStr">
        <is>
          <t>Jugador 3</t>
        </is>
      </c>
      <c r="B204" s="8" t="inlineStr">
        <is>
          <t>M59</t>
        </is>
      </c>
      <c r="C204" s="12" t="inlineStr">
        <is>
          <t>Corea del Sur</t>
        </is>
      </c>
      <c r="D204" s="12" t="inlineStr">
        <is>
          <t>Senegal</t>
        </is>
      </c>
      <c r="E204" s="8" t="n"/>
      <c r="F204" s="8" t="n"/>
      <c r="G204" s="8">
        <f>IF(OR(ISBLANK(E204),ISBLANK(F204)),"",IF(E204&gt;F204,"Local",IF(E204=F204,"Empate","Visitante")))</f>
        <v/>
      </c>
      <c r="H204" s="8">
        <f>IF(VLOOKUP(B204,PARTIDOS!$A:$I,9,FALSE)="Cerrado",IF(G204=VLOOKUP(B204,PARTIDOS!$A:$I,8,FALSE),IF(AND(E204=VLOOKUP(B204,PARTIDOS!$A:$I,6,FALSE),F204=VLOOKUP(B204,PARTIDOS!$A:$I,7,FALSE)),3,1),0),"")</f>
        <v/>
      </c>
    </row>
    <row r="205" ht="20.1" customHeight="1">
      <c r="A205" s="12" t="inlineStr">
        <is>
          <t>Jugador 3</t>
        </is>
      </c>
      <c r="B205" s="8" t="inlineStr">
        <is>
          <t>M60</t>
        </is>
      </c>
      <c r="C205" s="12" t="inlineStr">
        <is>
          <t>Australia</t>
        </is>
      </c>
      <c r="D205" s="12" t="inlineStr">
        <is>
          <t>Marruecos</t>
        </is>
      </c>
      <c r="E205" s="8" t="n"/>
      <c r="F205" s="8" t="n"/>
      <c r="G205" s="8">
        <f>IF(OR(ISBLANK(E205),ISBLANK(F205)),"",IF(E205&gt;F205,"Local",IF(E205=F205,"Empate","Visitante")))</f>
        <v/>
      </c>
      <c r="H205" s="8">
        <f>IF(VLOOKUP(B205,PARTIDOS!$A:$I,9,FALSE)="Cerrado",IF(G205=VLOOKUP(B205,PARTIDOS!$A:$I,8,FALSE),IF(AND(E205=VLOOKUP(B205,PARTIDOS!$A:$I,6,FALSE),F205=VLOOKUP(B205,PARTIDOS!$A:$I,7,FALSE)),3,1),0),"")</f>
        <v/>
      </c>
    </row>
    <row r="206" ht="20.1" customHeight="1">
      <c r="A206" s="12" t="inlineStr">
        <is>
          <t>Jugador 3</t>
        </is>
      </c>
      <c r="B206" s="8" t="inlineStr">
        <is>
          <t>M61</t>
        </is>
      </c>
      <c r="C206" s="12" t="inlineStr">
        <is>
          <t>Túnez</t>
        </is>
      </c>
      <c r="D206" s="12" t="inlineStr">
        <is>
          <t>Nigeria</t>
        </is>
      </c>
      <c r="E206" s="8" t="n"/>
      <c r="F206" s="8" t="n"/>
      <c r="G206" s="8">
        <f>IF(OR(ISBLANK(E206),ISBLANK(F206)),"",IF(E206&gt;F206,"Local",IF(E206=F206,"Empate","Visitante")))</f>
        <v/>
      </c>
      <c r="H206" s="8">
        <f>IF(VLOOKUP(B206,PARTIDOS!$A:$I,9,FALSE)="Cerrado",IF(G206=VLOOKUP(B206,PARTIDOS!$A:$I,8,FALSE),IF(AND(E206=VLOOKUP(B206,PARTIDOS!$A:$I,6,FALSE),F206=VLOOKUP(B206,PARTIDOS!$A:$I,7,FALSE)),3,1),0),"")</f>
        <v/>
      </c>
    </row>
    <row r="207" ht="20.1" customHeight="1">
      <c r="A207" s="12" t="inlineStr">
        <is>
          <t>Jugador 3</t>
        </is>
      </c>
      <c r="B207" s="8" t="inlineStr">
        <is>
          <t>M62</t>
        </is>
      </c>
      <c r="C207" s="12" t="inlineStr">
        <is>
          <t>Camerún</t>
        </is>
      </c>
      <c r="D207" s="12" t="inlineStr">
        <is>
          <t>Egipto</t>
        </is>
      </c>
      <c r="E207" s="8" t="n"/>
      <c r="F207" s="8" t="n"/>
      <c r="G207" s="8">
        <f>IF(OR(ISBLANK(E207),ISBLANK(F207)),"",IF(E207&gt;F207,"Local",IF(E207=F207,"Empate","Visitante")))</f>
        <v/>
      </c>
      <c r="H207" s="8">
        <f>IF(VLOOKUP(B207,PARTIDOS!$A:$I,9,FALSE)="Cerrado",IF(G207=VLOOKUP(B207,PARTIDOS!$A:$I,8,FALSE),IF(AND(E207=VLOOKUP(B207,PARTIDOS!$A:$I,6,FALSE),F207=VLOOKUP(B207,PARTIDOS!$A:$I,7,FALSE)),3,1),0),"")</f>
        <v/>
      </c>
    </row>
    <row r="208" ht="20.1" customHeight="1">
      <c r="A208" s="12" t="inlineStr">
        <is>
          <t>Jugador 3</t>
        </is>
      </c>
      <c r="B208" s="8" t="inlineStr">
        <is>
          <t>M63</t>
        </is>
      </c>
      <c r="C208" s="12" t="inlineStr">
        <is>
          <t>Túnez</t>
        </is>
      </c>
      <c r="D208" s="12" t="inlineStr">
        <is>
          <t>Camerún</t>
        </is>
      </c>
      <c r="E208" s="8" t="n"/>
      <c r="F208" s="8" t="n"/>
      <c r="G208" s="8">
        <f>IF(OR(ISBLANK(E208),ISBLANK(F208)),"",IF(E208&gt;F208,"Local",IF(E208=F208,"Empate","Visitante")))</f>
        <v/>
      </c>
      <c r="H208" s="8">
        <f>IF(VLOOKUP(B208,PARTIDOS!$A:$I,9,FALSE)="Cerrado",IF(G208=VLOOKUP(B208,PARTIDOS!$A:$I,8,FALSE),IF(AND(E208=VLOOKUP(B208,PARTIDOS!$A:$I,6,FALSE),F208=VLOOKUP(B208,PARTIDOS!$A:$I,7,FALSE)),3,1),0),"")</f>
        <v/>
      </c>
    </row>
    <row r="209" ht="20.1" customHeight="1">
      <c r="A209" s="12" t="inlineStr">
        <is>
          <t>Jugador 3</t>
        </is>
      </c>
      <c r="B209" s="8" t="inlineStr">
        <is>
          <t>M64</t>
        </is>
      </c>
      <c r="C209" s="12" t="inlineStr">
        <is>
          <t>Nigeria</t>
        </is>
      </c>
      <c r="D209" s="12" t="inlineStr">
        <is>
          <t>Egipto</t>
        </is>
      </c>
      <c r="E209" s="8" t="n"/>
      <c r="F209" s="8" t="n"/>
      <c r="G209" s="8">
        <f>IF(OR(ISBLANK(E209),ISBLANK(F209)),"",IF(E209&gt;F209,"Local",IF(E209=F209,"Empate","Visitante")))</f>
        <v/>
      </c>
      <c r="H209" s="8">
        <f>IF(VLOOKUP(B209,PARTIDOS!$A:$I,9,FALSE)="Cerrado",IF(G209=VLOOKUP(B209,PARTIDOS!$A:$I,8,FALSE),IF(AND(E209=VLOOKUP(B209,PARTIDOS!$A:$I,6,FALSE),F209=VLOOKUP(B209,PARTIDOS!$A:$I,7,FALSE)),3,1),0),"")</f>
        <v/>
      </c>
    </row>
    <row r="210" ht="20.1" customHeight="1">
      <c r="A210" s="12" t="inlineStr">
        <is>
          <t>Jugador 3</t>
        </is>
      </c>
      <c r="B210" s="8" t="inlineStr">
        <is>
          <t>M65</t>
        </is>
      </c>
      <c r="C210" s="12" t="inlineStr">
        <is>
          <t>Túnez</t>
        </is>
      </c>
      <c r="D210" s="12" t="inlineStr">
        <is>
          <t>Egipto</t>
        </is>
      </c>
      <c r="E210" s="8" t="n"/>
      <c r="F210" s="8" t="n"/>
      <c r="G210" s="8">
        <f>IF(OR(ISBLANK(E210),ISBLANK(F210)),"",IF(E210&gt;F210,"Local",IF(E210=F210,"Empate","Visitante")))</f>
        <v/>
      </c>
      <c r="H210" s="8">
        <f>IF(VLOOKUP(B210,PARTIDOS!$A:$I,9,FALSE)="Cerrado",IF(G210=VLOOKUP(B210,PARTIDOS!$A:$I,8,FALSE),IF(AND(E210=VLOOKUP(B210,PARTIDOS!$A:$I,6,FALSE),F210=VLOOKUP(B210,PARTIDOS!$A:$I,7,FALSE)),3,1),0),"")</f>
        <v/>
      </c>
    </row>
    <row r="211" ht="20.1" customHeight="1">
      <c r="A211" s="12" t="inlineStr">
        <is>
          <t>Jugador 3</t>
        </is>
      </c>
      <c r="B211" s="8" t="inlineStr">
        <is>
          <t>M66</t>
        </is>
      </c>
      <c r="C211" s="12" t="inlineStr">
        <is>
          <t>Nigeria</t>
        </is>
      </c>
      <c r="D211" s="12" t="inlineStr">
        <is>
          <t>Camerún</t>
        </is>
      </c>
      <c r="E211" s="8" t="n"/>
      <c r="F211" s="8" t="n"/>
      <c r="G211" s="8">
        <f>IF(OR(ISBLANK(E211),ISBLANK(F211)),"",IF(E211&gt;F211,"Local",IF(E211=F211,"Empate","Visitante")))</f>
        <v/>
      </c>
      <c r="H211" s="8">
        <f>IF(VLOOKUP(B211,PARTIDOS!$A:$I,9,FALSE)="Cerrado",IF(G211=VLOOKUP(B211,PARTIDOS!$A:$I,8,FALSE),IF(AND(E211=VLOOKUP(B211,PARTIDOS!$A:$I,6,FALSE),F211=VLOOKUP(B211,PARTIDOS!$A:$I,7,FALSE)),3,1),0),"")</f>
        <v/>
      </c>
    </row>
    <row r="212" ht="20.1" customHeight="1">
      <c r="A212" s="12" t="inlineStr">
        <is>
          <t>Jugador 3</t>
        </is>
      </c>
      <c r="B212" s="8" t="inlineStr">
        <is>
          <t>M67</t>
        </is>
      </c>
      <c r="C212" s="12" t="inlineStr">
        <is>
          <t>Costa de Marfil</t>
        </is>
      </c>
      <c r="D212" s="12" t="inlineStr">
        <is>
          <t>Sudáfrica</t>
        </is>
      </c>
      <c r="E212" s="8" t="n"/>
      <c r="F212" s="8" t="n"/>
      <c r="G212" s="8">
        <f>IF(OR(ISBLANK(E212),ISBLANK(F212)),"",IF(E212&gt;F212,"Local",IF(E212=F212,"Empate","Visitante")))</f>
        <v/>
      </c>
      <c r="H212" s="8">
        <f>IF(VLOOKUP(B212,PARTIDOS!$A:$I,9,FALSE)="Cerrado",IF(G212=VLOOKUP(B212,PARTIDOS!$A:$I,8,FALSE),IF(AND(E212=VLOOKUP(B212,PARTIDOS!$A:$I,6,FALSE),F212=VLOOKUP(B212,PARTIDOS!$A:$I,7,FALSE)),3,1),0),"")</f>
        <v/>
      </c>
    </row>
    <row r="213" ht="20.1" customHeight="1">
      <c r="A213" s="12" t="inlineStr">
        <is>
          <t>Jugador 3</t>
        </is>
      </c>
      <c r="B213" s="8" t="inlineStr">
        <is>
          <t>M68</t>
        </is>
      </c>
      <c r="C213" s="12" t="inlineStr">
        <is>
          <t>Panáma</t>
        </is>
      </c>
      <c r="D213" s="12" t="inlineStr">
        <is>
          <t>Nueva Zelanda</t>
        </is>
      </c>
      <c r="E213" s="8" t="n"/>
      <c r="F213" s="8" t="n"/>
      <c r="G213" s="8">
        <f>IF(OR(ISBLANK(E213),ISBLANK(F213)),"",IF(E213&gt;F213,"Local",IF(E213=F213,"Empate","Visitante")))</f>
        <v/>
      </c>
      <c r="H213" s="8">
        <f>IF(VLOOKUP(B213,PARTIDOS!$A:$I,9,FALSE)="Cerrado",IF(G213=VLOOKUP(B213,PARTIDOS!$A:$I,8,FALSE),IF(AND(E213=VLOOKUP(B213,PARTIDOS!$A:$I,6,FALSE),F213=VLOOKUP(B213,PARTIDOS!$A:$I,7,FALSE)),3,1),0),"")</f>
        <v/>
      </c>
    </row>
    <row r="214" ht="20.1" customHeight="1">
      <c r="A214" s="12" t="inlineStr">
        <is>
          <t>Jugador 3</t>
        </is>
      </c>
      <c r="B214" s="8" t="inlineStr">
        <is>
          <t>M69</t>
        </is>
      </c>
      <c r="C214" s="12" t="inlineStr">
        <is>
          <t>Costa de Marfil</t>
        </is>
      </c>
      <c r="D214" s="12" t="inlineStr">
        <is>
          <t>Panáma</t>
        </is>
      </c>
      <c r="E214" s="8" t="n"/>
      <c r="F214" s="8" t="n"/>
      <c r="G214" s="8">
        <f>IF(OR(ISBLANK(E214),ISBLANK(F214)),"",IF(E214&gt;F214,"Local",IF(E214=F214,"Empate","Visitante")))</f>
        <v/>
      </c>
      <c r="H214" s="8">
        <f>IF(VLOOKUP(B214,PARTIDOS!$A:$I,9,FALSE)="Cerrado",IF(G214=VLOOKUP(B214,PARTIDOS!$A:$I,8,FALSE),IF(AND(E214=VLOOKUP(B214,PARTIDOS!$A:$I,6,FALSE),F214=VLOOKUP(B214,PARTIDOS!$A:$I,7,FALSE)),3,1),0),"")</f>
        <v/>
      </c>
    </row>
    <row r="215" ht="20.1" customHeight="1">
      <c r="A215" s="12" t="inlineStr">
        <is>
          <t>Jugador 3</t>
        </is>
      </c>
      <c r="B215" s="8" t="inlineStr">
        <is>
          <t>M70</t>
        </is>
      </c>
      <c r="C215" s="12" t="inlineStr">
        <is>
          <t>Sudáfrica</t>
        </is>
      </c>
      <c r="D215" s="12" t="inlineStr">
        <is>
          <t>Nueva Zelanda</t>
        </is>
      </c>
      <c r="E215" s="8" t="n"/>
      <c r="F215" s="8" t="n"/>
      <c r="G215" s="8">
        <f>IF(OR(ISBLANK(E215),ISBLANK(F215)),"",IF(E215&gt;F215,"Local",IF(E215=F215,"Empate","Visitante")))</f>
        <v/>
      </c>
      <c r="H215" s="8">
        <f>IF(VLOOKUP(B215,PARTIDOS!$A:$I,9,FALSE)="Cerrado",IF(G215=VLOOKUP(B215,PARTIDOS!$A:$I,8,FALSE),IF(AND(E215=VLOOKUP(B215,PARTIDOS!$A:$I,6,FALSE),F215=VLOOKUP(B215,PARTIDOS!$A:$I,7,FALSE)),3,1),0),"")</f>
        <v/>
      </c>
    </row>
    <row r="216" ht="20.1" customHeight="1">
      <c r="A216" s="12" t="inlineStr">
        <is>
          <t>Jugador 3</t>
        </is>
      </c>
      <c r="B216" s="8" t="inlineStr">
        <is>
          <t>M71</t>
        </is>
      </c>
      <c r="C216" s="12" t="inlineStr">
        <is>
          <t>Costa de Marfil</t>
        </is>
      </c>
      <c r="D216" s="12" t="inlineStr">
        <is>
          <t>Nueva Zelanda</t>
        </is>
      </c>
      <c r="E216" s="8" t="n"/>
      <c r="F216" s="8" t="n"/>
      <c r="G216" s="8">
        <f>IF(OR(ISBLANK(E216),ISBLANK(F216)),"",IF(E216&gt;F216,"Local",IF(E216=F216,"Empate","Visitante")))</f>
        <v/>
      </c>
      <c r="H216" s="8">
        <f>IF(VLOOKUP(B216,PARTIDOS!$A:$I,9,FALSE)="Cerrado",IF(G216=VLOOKUP(B216,PARTIDOS!$A:$I,8,FALSE),IF(AND(E216=VLOOKUP(B216,PARTIDOS!$A:$I,6,FALSE),F216=VLOOKUP(B216,PARTIDOS!$A:$I,7,FALSE)),3,1),0),"")</f>
        <v/>
      </c>
    </row>
    <row r="217" ht="20.1" customHeight="1">
      <c r="A217" s="12" t="inlineStr">
        <is>
          <t>Jugador 3</t>
        </is>
      </c>
      <c r="B217" s="8" t="inlineStr">
        <is>
          <t>M72</t>
        </is>
      </c>
      <c r="C217" s="12" t="inlineStr">
        <is>
          <t>Sudáfrica</t>
        </is>
      </c>
      <c r="D217" s="12" t="inlineStr">
        <is>
          <t>Panáma</t>
        </is>
      </c>
      <c r="E217" s="8" t="n"/>
      <c r="F217" s="8" t="n"/>
      <c r="G217" s="8">
        <f>IF(OR(ISBLANK(E217),ISBLANK(F217)),"",IF(E217&gt;F217,"Local",IF(E217=F217,"Empate","Visitante")))</f>
        <v/>
      </c>
      <c r="H217" s="8">
        <f>IF(VLOOKUP(B217,PARTIDOS!$A:$I,9,FALSE)="Cerrado",IF(G217=VLOOKUP(B217,PARTIDOS!$A:$I,8,FALSE),IF(AND(E217=VLOOKUP(B217,PARTIDOS!$A:$I,6,FALSE),F217=VLOOKUP(B217,PARTIDOS!$A:$I,7,FALSE)),3,1),0),"")</f>
        <v/>
      </c>
    </row>
    <row r="218" ht="20.1" customHeight="1">
      <c r="A218" s="12" t="inlineStr">
        <is>
          <t>Jugador 4</t>
        </is>
      </c>
      <c r="B218" s="8" t="inlineStr">
        <is>
          <t>M01</t>
        </is>
      </c>
      <c r="C218" s="12" t="inlineStr">
        <is>
          <t>México</t>
        </is>
      </c>
      <c r="D218" s="12" t="inlineStr">
        <is>
          <t>EEUU</t>
        </is>
      </c>
      <c r="E218" s="8" t="n"/>
      <c r="F218" s="8" t="n"/>
      <c r="G218" s="8">
        <f>IF(OR(ISBLANK(E218),ISBLANK(F218)),"",IF(E218&gt;F218,"Local",IF(E218=F218,"Empate","Visitante")))</f>
        <v/>
      </c>
      <c r="H218" s="8">
        <f>IF(VLOOKUP(B218,PARTIDOS!$A:$I,9,FALSE)="Cerrado",IF(G218=VLOOKUP(B218,PARTIDOS!$A:$I,8,FALSE),IF(AND(E218=VLOOKUP(B218,PARTIDOS!$A:$I,6,FALSE),F218=VLOOKUP(B218,PARTIDOS!$A:$I,7,FALSE)),3,1),0),"")</f>
        <v/>
      </c>
    </row>
    <row r="219" ht="20.1" customHeight="1">
      <c r="A219" s="12" t="inlineStr">
        <is>
          <t>Jugador 4</t>
        </is>
      </c>
      <c r="B219" s="8" t="inlineStr">
        <is>
          <t>M02</t>
        </is>
      </c>
      <c r="C219" s="12" t="inlineStr">
        <is>
          <t>Canadá</t>
        </is>
      </c>
      <c r="D219" s="12" t="inlineStr">
        <is>
          <t>Jamaica</t>
        </is>
      </c>
      <c r="E219" s="8" t="n"/>
      <c r="F219" s="8" t="n"/>
      <c r="G219" s="8">
        <f>IF(OR(ISBLANK(E219),ISBLANK(F219)),"",IF(E219&gt;F219,"Local",IF(E219=F219,"Empate","Visitante")))</f>
        <v/>
      </c>
      <c r="H219" s="8">
        <f>IF(VLOOKUP(B219,PARTIDOS!$A:$I,9,FALSE)="Cerrado",IF(G219=VLOOKUP(B219,PARTIDOS!$A:$I,8,FALSE),IF(AND(E219=VLOOKUP(B219,PARTIDOS!$A:$I,6,FALSE),F219=VLOOKUP(B219,PARTIDOS!$A:$I,7,FALSE)),3,1),0),"")</f>
        <v/>
      </c>
    </row>
    <row r="220" ht="20.1" customHeight="1">
      <c r="A220" s="12" t="inlineStr">
        <is>
          <t>Jugador 4</t>
        </is>
      </c>
      <c r="B220" s="8" t="inlineStr">
        <is>
          <t>M03</t>
        </is>
      </c>
      <c r="C220" s="12" t="inlineStr">
        <is>
          <t>México</t>
        </is>
      </c>
      <c r="D220" s="12" t="inlineStr">
        <is>
          <t>Canadá</t>
        </is>
      </c>
      <c r="E220" s="8" t="n"/>
      <c r="F220" s="8" t="n"/>
      <c r="G220" s="8">
        <f>IF(OR(ISBLANK(E220),ISBLANK(F220)),"",IF(E220&gt;F220,"Local",IF(E220=F220,"Empate","Visitante")))</f>
        <v/>
      </c>
      <c r="H220" s="8">
        <f>IF(VLOOKUP(B220,PARTIDOS!$A:$I,9,FALSE)="Cerrado",IF(G220=VLOOKUP(B220,PARTIDOS!$A:$I,8,FALSE),IF(AND(E220=VLOOKUP(B220,PARTIDOS!$A:$I,6,FALSE),F220=VLOOKUP(B220,PARTIDOS!$A:$I,7,FALSE)),3,1),0),"")</f>
        <v/>
      </c>
    </row>
    <row r="221" ht="20.1" customHeight="1">
      <c r="A221" s="12" t="inlineStr">
        <is>
          <t>Jugador 4</t>
        </is>
      </c>
      <c r="B221" s="8" t="inlineStr">
        <is>
          <t>M04</t>
        </is>
      </c>
      <c r="C221" s="12" t="inlineStr">
        <is>
          <t>EEUU</t>
        </is>
      </c>
      <c r="D221" s="12" t="inlineStr">
        <is>
          <t>Jamaica</t>
        </is>
      </c>
      <c r="E221" s="8" t="n"/>
      <c r="F221" s="8" t="n"/>
      <c r="G221" s="8">
        <f>IF(OR(ISBLANK(E221),ISBLANK(F221)),"",IF(E221&gt;F221,"Local",IF(E221=F221,"Empate","Visitante")))</f>
        <v/>
      </c>
      <c r="H221" s="8">
        <f>IF(VLOOKUP(B221,PARTIDOS!$A:$I,9,FALSE)="Cerrado",IF(G221=VLOOKUP(B221,PARTIDOS!$A:$I,8,FALSE),IF(AND(E221=VLOOKUP(B221,PARTIDOS!$A:$I,6,FALSE),F221=VLOOKUP(B221,PARTIDOS!$A:$I,7,FALSE)),3,1),0),"")</f>
        <v/>
      </c>
    </row>
    <row r="222" ht="20.1" customHeight="1">
      <c r="A222" s="12" t="inlineStr">
        <is>
          <t>Jugador 4</t>
        </is>
      </c>
      <c r="B222" s="8" t="inlineStr">
        <is>
          <t>M05</t>
        </is>
      </c>
      <c r="C222" s="12" t="inlineStr">
        <is>
          <t>México</t>
        </is>
      </c>
      <c r="D222" s="12" t="inlineStr">
        <is>
          <t>Jamaica</t>
        </is>
      </c>
      <c r="E222" s="8" t="n"/>
      <c r="F222" s="8" t="n"/>
      <c r="G222" s="8">
        <f>IF(OR(ISBLANK(E222),ISBLANK(F222)),"",IF(E222&gt;F222,"Local",IF(E222=F222,"Empate","Visitante")))</f>
        <v/>
      </c>
      <c r="H222" s="8">
        <f>IF(VLOOKUP(B222,PARTIDOS!$A:$I,9,FALSE)="Cerrado",IF(G222=VLOOKUP(B222,PARTIDOS!$A:$I,8,FALSE),IF(AND(E222=VLOOKUP(B222,PARTIDOS!$A:$I,6,FALSE),F222=VLOOKUP(B222,PARTIDOS!$A:$I,7,FALSE)),3,1),0),"")</f>
        <v/>
      </c>
    </row>
    <row r="223" ht="20.1" customHeight="1">
      <c r="A223" s="12" t="inlineStr">
        <is>
          <t>Jugador 4</t>
        </is>
      </c>
      <c r="B223" s="8" t="inlineStr">
        <is>
          <t>M06</t>
        </is>
      </c>
      <c r="C223" s="12" t="inlineStr">
        <is>
          <t>EEUU</t>
        </is>
      </c>
      <c r="D223" s="12" t="inlineStr">
        <is>
          <t>Canadá</t>
        </is>
      </c>
      <c r="E223" s="8" t="n"/>
      <c r="F223" s="8" t="n"/>
      <c r="G223" s="8">
        <f>IF(OR(ISBLANK(E223),ISBLANK(F223)),"",IF(E223&gt;F223,"Local",IF(E223=F223,"Empate","Visitante")))</f>
        <v/>
      </c>
      <c r="H223" s="8">
        <f>IF(VLOOKUP(B223,PARTIDOS!$A:$I,9,FALSE)="Cerrado",IF(G223=VLOOKUP(B223,PARTIDOS!$A:$I,8,FALSE),IF(AND(E223=VLOOKUP(B223,PARTIDOS!$A:$I,6,FALSE),F223=VLOOKUP(B223,PARTIDOS!$A:$I,7,FALSE)),3,1),0),"")</f>
        <v/>
      </c>
    </row>
    <row r="224" ht="20.1" customHeight="1">
      <c r="A224" s="12" t="inlineStr">
        <is>
          <t>Jugador 4</t>
        </is>
      </c>
      <c r="B224" s="8" t="inlineStr">
        <is>
          <t>M07</t>
        </is>
      </c>
      <c r="C224" s="12" t="inlineStr">
        <is>
          <t>Argentina</t>
        </is>
      </c>
      <c r="D224" s="12" t="inlineStr">
        <is>
          <t>Brasil</t>
        </is>
      </c>
      <c r="E224" s="8" t="n"/>
      <c r="F224" s="8" t="n"/>
      <c r="G224" s="8">
        <f>IF(OR(ISBLANK(E224),ISBLANK(F224)),"",IF(E224&gt;F224,"Local",IF(E224=F224,"Empate","Visitante")))</f>
        <v/>
      </c>
      <c r="H224" s="8">
        <f>IF(VLOOKUP(B224,PARTIDOS!$A:$I,9,FALSE)="Cerrado",IF(G224=VLOOKUP(B224,PARTIDOS!$A:$I,8,FALSE),IF(AND(E224=VLOOKUP(B224,PARTIDOS!$A:$I,6,FALSE),F224=VLOOKUP(B224,PARTIDOS!$A:$I,7,FALSE)),3,1),0),"")</f>
        <v/>
      </c>
    </row>
    <row r="225" ht="20.1" customHeight="1">
      <c r="A225" s="12" t="inlineStr">
        <is>
          <t>Jugador 4</t>
        </is>
      </c>
      <c r="B225" s="8" t="inlineStr">
        <is>
          <t>M08</t>
        </is>
      </c>
      <c r="C225" s="12" t="inlineStr">
        <is>
          <t>Colombia</t>
        </is>
      </c>
      <c r="D225" s="12" t="inlineStr">
        <is>
          <t>Uruguay</t>
        </is>
      </c>
      <c r="E225" s="8" t="n"/>
      <c r="F225" s="8" t="n"/>
      <c r="G225" s="8">
        <f>IF(OR(ISBLANK(E225),ISBLANK(F225)),"",IF(E225&gt;F225,"Local",IF(E225=F225,"Empate","Visitante")))</f>
        <v/>
      </c>
      <c r="H225" s="8">
        <f>IF(VLOOKUP(B225,PARTIDOS!$A:$I,9,FALSE)="Cerrado",IF(G225=VLOOKUP(B225,PARTIDOS!$A:$I,8,FALSE),IF(AND(E225=VLOOKUP(B225,PARTIDOS!$A:$I,6,FALSE),F225=VLOOKUP(B225,PARTIDOS!$A:$I,7,FALSE)),3,1),0),"")</f>
        <v/>
      </c>
    </row>
    <row r="226" ht="20.1" customHeight="1">
      <c r="A226" s="12" t="inlineStr">
        <is>
          <t>Jugador 4</t>
        </is>
      </c>
      <c r="B226" s="8" t="inlineStr">
        <is>
          <t>M09</t>
        </is>
      </c>
      <c r="C226" s="12" t="inlineStr">
        <is>
          <t>Argentina</t>
        </is>
      </c>
      <c r="D226" s="12" t="inlineStr">
        <is>
          <t>Colombia</t>
        </is>
      </c>
      <c r="E226" s="8" t="n"/>
      <c r="F226" s="8" t="n"/>
      <c r="G226" s="8">
        <f>IF(OR(ISBLANK(E226),ISBLANK(F226)),"",IF(E226&gt;F226,"Local",IF(E226=F226,"Empate","Visitante")))</f>
        <v/>
      </c>
      <c r="H226" s="8">
        <f>IF(VLOOKUP(B226,PARTIDOS!$A:$I,9,FALSE)="Cerrado",IF(G226=VLOOKUP(B226,PARTIDOS!$A:$I,8,FALSE),IF(AND(E226=VLOOKUP(B226,PARTIDOS!$A:$I,6,FALSE),F226=VLOOKUP(B226,PARTIDOS!$A:$I,7,FALSE)),3,1),0),"")</f>
        <v/>
      </c>
    </row>
    <row r="227" ht="20.1" customHeight="1">
      <c r="A227" s="12" t="inlineStr">
        <is>
          <t>Jugador 4</t>
        </is>
      </c>
      <c r="B227" s="8" t="inlineStr">
        <is>
          <t>M10</t>
        </is>
      </c>
      <c r="C227" s="12" t="inlineStr">
        <is>
          <t>Brasil</t>
        </is>
      </c>
      <c r="D227" s="12" t="inlineStr">
        <is>
          <t>Uruguay</t>
        </is>
      </c>
      <c r="E227" s="8" t="n"/>
      <c r="F227" s="8" t="n"/>
      <c r="G227" s="8">
        <f>IF(OR(ISBLANK(E227),ISBLANK(F227)),"",IF(E227&gt;F227,"Local",IF(E227=F227,"Empate","Visitante")))</f>
        <v/>
      </c>
      <c r="H227" s="8">
        <f>IF(VLOOKUP(B227,PARTIDOS!$A:$I,9,FALSE)="Cerrado",IF(G227=VLOOKUP(B227,PARTIDOS!$A:$I,8,FALSE),IF(AND(E227=VLOOKUP(B227,PARTIDOS!$A:$I,6,FALSE),F227=VLOOKUP(B227,PARTIDOS!$A:$I,7,FALSE)),3,1),0),"")</f>
        <v/>
      </c>
    </row>
    <row r="228" ht="20.1" customHeight="1">
      <c r="A228" s="12" t="inlineStr">
        <is>
          <t>Jugador 4</t>
        </is>
      </c>
      <c r="B228" s="8" t="inlineStr">
        <is>
          <t>M11</t>
        </is>
      </c>
      <c r="C228" s="12" t="inlineStr">
        <is>
          <t>Argentina</t>
        </is>
      </c>
      <c r="D228" s="12" t="inlineStr">
        <is>
          <t>Uruguay</t>
        </is>
      </c>
      <c r="E228" s="8" t="n"/>
      <c r="F228" s="8" t="n"/>
      <c r="G228" s="8">
        <f>IF(OR(ISBLANK(E228),ISBLANK(F228)),"",IF(E228&gt;F228,"Local",IF(E228=F228,"Empate","Visitante")))</f>
        <v/>
      </c>
      <c r="H228" s="8">
        <f>IF(VLOOKUP(B228,PARTIDOS!$A:$I,9,FALSE)="Cerrado",IF(G228=VLOOKUP(B228,PARTIDOS!$A:$I,8,FALSE),IF(AND(E228=VLOOKUP(B228,PARTIDOS!$A:$I,6,FALSE),F228=VLOOKUP(B228,PARTIDOS!$A:$I,7,FALSE)),3,1),0),"")</f>
        <v/>
      </c>
    </row>
    <row r="229" ht="20.1" customHeight="1">
      <c r="A229" s="12" t="inlineStr">
        <is>
          <t>Jugador 4</t>
        </is>
      </c>
      <c r="B229" s="8" t="inlineStr">
        <is>
          <t>M12</t>
        </is>
      </c>
      <c r="C229" s="12" t="inlineStr">
        <is>
          <t>Brasil</t>
        </is>
      </c>
      <c r="D229" s="12" t="inlineStr">
        <is>
          <t>Colombia</t>
        </is>
      </c>
      <c r="E229" s="8" t="n"/>
      <c r="F229" s="8" t="n"/>
      <c r="G229" s="8">
        <f>IF(OR(ISBLANK(E229),ISBLANK(F229)),"",IF(E229&gt;F229,"Local",IF(E229=F229,"Empate","Visitante")))</f>
        <v/>
      </c>
      <c r="H229" s="8">
        <f>IF(VLOOKUP(B229,PARTIDOS!$A:$I,9,FALSE)="Cerrado",IF(G229=VLOOKUP(B229,PARTIDOS!$A:$I,8,FALSE),IF(AND(E229=VLOOKUP(B229,PARTIDOS!$A:$I,6,FALSE),F229=VLOOKUP(B229,PARTIDOS!$A:$I,7,FALSE)),3,1),0),"")</f>
        <v/>
      </c>
    </row>
    <row r="230" ht="20.1" customHeight="1">
      <c r="A230" s="12" t="inlineStr">
        <is>
          <t>Jugador 4</t>
        </is>
      </c>
      <c r="B230" s="8" t="inlineStr">
        <is>
          <t>M13</t>
        </is>
      </c>
      <c r="C230" s="12" t="inlineStr">
        <is>
          <t>Ecuador</t>
        </is>
      </c>
      <c r="D230" s="12" t="inlineStr">
        <is>
          <t>Perú</t>
        </is>
      </c>
      <c r="E230" s="8" t="n"/>
      <c r="F230" s="8" t="n"/>
      <c r="G230" s="8">
        <f>IF(OR(ISBLANK(E230),ISBLANK(F230)),"",IF(E230&gt;F230,"Local",IF(E230=F230,"Empate","Visitante")))</f>
        <v/>
      </c>
      <c r="H230" s="8">
        <f>IF(VLOOKUP(B230,PARTIDOS!$A:$I,9,FALSE)="Cerrado",IF(G230=VLOOKUP(B230,PARTIDOS!$A:$I,8,FALSE),IF(AND(E230=VLOOKUP(B230,PARTIDOS!$A:$I,6,FALSE),F230=VLOOKUP(B230,PARTIDOS!$A:$I,7,FALSE)),3,1),0),"")</f>
        <v/>
      </c>
    </row>
    <row r="231" ht="20.1" customHeight="1">
      <c r="A231" s="12" t="inlineStr">
        <is>
          <t>Jugador 4</t>
        </is>
      </c>
      <c r="B231" s="8" t="inlineStr">
        <is>
          <t>M14</t>
        </is>
      </c>
      <c r="C231" s="12" t="inlineStr">
        <is>
          <t>Chile</t>
        </is>
      </c>
      <c r="D231" s="12" t="inlineStr">
        <is>
          <t>Paraguay</t>
        </is>
      </c>
      <c r="E231" s="8" t="n"/>
      <c r="F231" s="8" t="n"/>
      <c r="G231" s="8">
        <f>IF(OR(ISBLANK(E231),ISBLANK(F231)),"",IF(E231&gt;F231,"Local",IF(E231=F231,"Empate","Visitante")))</f>
        <v/>
      </c>
      <c r="H231" s="8">
        <f>IF(VLOOKUP(B231,PARTIDOS!$A:$I,9,FALSE)="Cerrado",IF(G231=VLOOKUP(B231,PARTIDOS!$A:$I,8,FALSE),IF(AND(E231=VLOOKUP(B231,PARTIDOS!$A:$I,6,FALSE),F231=VLOOKUP(B231,PARTIDOS!$A:$I,7,FALSE)),3,1),0),"")</f>
        <v/>
      </c>
    </row>
    <row r="232" ht="20.1" customHeight="1">
      <c r="A232" s="12" t="inlineStr">
        <is>
          <t>Jugador 4</t>
        </is>
      </c>
      <c r="B232" s="8" t="inlineStr">
        <is>
          <t>M15</t>
        </is>
      </c>
      <c r="C232" s="12" t="inlineStr">
        <is>
          <t>Ecuador</t>
        </is>
      </c>
      <c r="D232" s="12" t="inlineStr">
        <is>
          <t>Chile</t>
        </is>
      </c>
      <c r="E232" s="8" t="n"/>
      <c r="F232" s="8" t="n"/>
      <c r="G232" s="8">
        <f>IF(OR(ISBLANK(E232),ISBLANK(F232)),"",IF(E232&gt;F232,"Local",IF(E232=F232,"Empate","Visitante")))</f>
        <v/>
      </c>
      <c r="H232" s="8">
        <f>IF(VLOOKUP(B232,PARTIDOS!$A:$I,9,FALSE)="Cerrado",IF(G232=VLOOKUP(B232,PARTIDOS!$A:$I,8,FALSE),IF(AND(E232=VLOOKUP(B232,PARTIDOS!$A:$I,6,FALSE),F232=VLOOKUP(B232,PARTIDOS!$A:$I,7,FALSE)),3,1),0),"")</f>
        <v/>
      </c>
    </row>
    <row r="233" ht="20.1" customHeight="1">
      <c r="A233" s="12" t="inlineStr">
        <is>
          <t>Jugador 4</t>
        </is>
      </c>
      <c r="B233" s="8" t="inlineStr">
        <is>
          <t>M16</t>
        </is>
      </c>
      <c r="C233" s="12" t="inlineStr">
        <is>
          <t>Perú</t>
        </is>
      </c>
      <c r="D233" s="12" t="inlineStr">
        <is>
          <t>Paraguay</t>
        </is>
      </c>
      <c r="E233" s="8" t="n"/>
      <c r="F233" s="8" t="n"/>
      <c r="G233" s="8">
        <f>IF(OR(ISBLANK(E233),ISBLANK(F233)),"",IF(E233&gt;F233,"Local",IF(E233=F233,"Empate","Visitante")))</f>
        <v/>
      </c>
      <c r="H233" s="8">
        <f>IF(VLOOKUP(B233,PARTIDOS!$A:$I,9,FALSE)="Cerrado",IF(G233=VLOOKUP(B233,PARTIDOS!$A:$I,8,FALSE),IF(AND(E233=VLOOKUP(B233,PARTIDOS!$A:$I,6,FALSE),F233=VLOOKUP(B233,PARTIDOS!$A:$I,7,FALSE)),3,1),0),"")</f>
        <v/>
      </c>
    </row>
    <row r="234" ht="20.1" customHeight="1">
      <c r="A234" s="12" t="inlineStr">
        <is>
          <t>Jugador 4</t>
        </is>
      </c>
      <c r="B234" s="8" t="inlineStr">
        <is>
          <t>M17</t>
        </is>
      </c>
      <c r="C234" s="12" t="inlineStr">
        <is>
          <t>Ecuador</t>
        </is>
      </c>
      <c r="D234" s="12" t="inlineStr">
        <is>
          <t>Paraguay</t>
        </is>
      </c>
      <c r="E234" s="8" t="n"/>
      <c r="F234" s="8" t="n"/>
      <c r="G234" s="8">
        <f>IF(OR(ISBLANK(E234),ISBLANK(F234)),"",IF(E234&gt;F234,"Local",IF(E234=F234,"Empate","Visitante")))</f>
        <v/>
      </c>
      <c r="H234" s="8">
        <f>IF(VLOOKUP(B234,PARTIDOS!$A:$I,9,FALSE)="Cerrado",IF(G234=VLOOKUP(B234,PARTIDOS!$A:$I,8,FALSE),IF(AND(E234=VLOOKUP(B234,PARTIDOS!$A:$I,6,FALSE),F234=VLOOKUP(B234,PARTIDOS!$A:$I,7,FALSE)),3,1),0),"")</f>
        <v/>
      </c>
    </row>
    <row r="235" ht="20.1" customHeight="1">
      <c r="A235" s="12" t="inlineStr">
        <is>
          <t>Jugador 4</t>
        </is>
      </c>
      <c r="B235" s="8" t="inlineStr">
        <is>
          <t>M18</t>
        </is>
      </c>
      <c r="C235" s="12" t="inlineStr">
        <is>
          <t>Perú</t>
        </is>
      </c>
      <c r="D235" s="12" t="inlineStr">
        <is>
          <t>Chile</t>
        </is>
      </c>
      <c r="E235" s="8" t="n"/>
      <c r="F235" s="8" t="n"/>
      <c r="G235" s="8">
        <f>IF(OR(ISBLANK(E235),ISBLANK(F235)),"",IF(E235&gt;F235,"Local",IF(E235=F235,"Empate","Visitante")))</f>
        <v/>
      </c>
      <c r="H235" s="8">
        <f>IF(VLOOKUP(B235,PARTIDOS!$A:$I,9,FALSE)="Cerrado",IF(G235=VLOOKUP(B235,PARTIDOS!$A:$I,8,FALSE),IF(AND(E235=VLOOKUP(B235,PARTIDOS!$A:$I,6,FALSE),F235=VLOOKUP(B235,PARTIDOS!$A:$I,7,FALSE)),3,1),0),"")</f>
        <v/>
      </c>
    </row>
    <row r="236" ht="20.1" customHeight="1">
      <c r="A236" s="12" t="inlineStr">
        <is>
          <t>Jugador 4</t>
        </is>
      </c>
      <c r="B236" s="8" t="inlineStr">
        <is>
          <t>M19</t>
        </is>
      </c>
      <c r="C236" s="12" t="inlineStr">
        <is>
          <t>España</t>
        </is>
      </c>
      <c r="D236" s="12" t="inlineStr">
        <is>
          <t>Francia</t>
        </is>
      </c>
      <c r="E236" s="8" t="n"/>
      <c r="F236" s="8" t="n"/>
      <c r="G236" s="8">
        <f>IF(OR(ISBLANK(E236),ISBLANK(F236)),"",IF(E236&gt;F236,"Local",IF(E236=F236,"Empate","Visitante")))</f>
        <v/>
      </c>
      <c r="H236" s="8">
        <f>IF(VLOOKUP(B236,PARTIDOS!$A:$I,9,FALSE)="Cerrado",IF(G236=VLOOKUP(B236,PARTIDOS!$A:$I,8,FALSE),IF(AND(E236=VLOOKUP(B236,PARTIDOS!$A:$I,6,FALSE),F236=VLOOKUP(B236,PARTIDOS!$A:$I,7,FALSE)),3,1),0),"")</f>
        <v/>
      </c>
    </row>
    <row r="237" ht="20.1" customHeight="1">
      <c r="A237" s="12" t="inlineStr">
        <is>
          <t>Jugador 4</t>
        </is>
      </c>
      <c r="B237" s="8" t="inlineStr">
        <is>
          <t>M20</t>
        </is>
      </c>
      <c r="C237" s="12" t="inlineStr">
        <is>
          <t>Inglaterra</t>
        </is>
      </c>
      <c r="D237" s="12" t="inlineStr">
        <is>
          <t>Alemania</t>
        </is>
      </c>
      <c r="E237" s="8" t="n"/>
      <c r="F237" s="8" t="n"/>
      <c r="G237" s="8">
        <f>IF(OR(ISBLANK(E237),ISBLANK(F237)),"",IF(E237&gt;F237,"Local",IF(E237=F237,"Empate","Visitante")))</f>
        <v/>
      </c>
      <c r="H237" s="8">
        <f>IF(VLOOKUP(B237,PARTIDOS!$A:$I,9,FALSE)="Cerrado",IF(G237=VLOOKUP(B237,PARTIDOS!$A:$I,8,FALSE),IF(AND(E237=VLOOKUP(B237,PARTIDOS!$A:$I,6,FALSE),F237=VLOOKUP(B237,PARTIDOS!$A:$I,7,FALSE)),3,1),0),"")</f>
        <v/>
      </c>
    </row>
    <row r="238" ht="20.1" customHeight="1">
      <c r="A238" s="12" t="inlineStr">
        <is>
          <t>Jugador 4</t>
        </is>
      </c>
      <c r="B238" s="8" t="inlineStr">
        <is>
          <t>M21</t>
        </is>
      </c>
      <c r="C238" s="12" t="inlineStr">
        <is>
          <t>España</t>
        </is>
      </c>
      <c r="D238" s="12" t="inlineStr">
        <is>
          <t>Inglaterra</t>
        </is>
      </c>
      <c r="E238" s="8" t="n"/>
      <c r="F238" s="8" t="n"/>
      <c r="G238" s="8">
        <f>IF(OR(ISBLANK(E238),ISBLANK(F238)),"",IF(E238&gt;F238,"Local",IF(E238=F238,"Empate","Visitante")))</f>
        <v/>
      </c>
      <c r="H238" s="8">
        <f>IF(VLOOKUP(B238,PARTIDOS!$A:$I,9,FALSE)="Cerrado",IF(G238=VLOOKUP(B238,PARTIDOS!$A:$I,8,FALSE),IF(AND(E238=VLOOKUP(B238,PARTIDOS!$A:$I,6,FALSE),F238=VLOOKUP(B238,PARTIDOS!$A:$I,7,FALSE)),3,1),0),"")</f>
        <v/>
      </c>
    </row>
    <row r="239" ht="20.1" customHeight="1">
      <c r="A239" s="12" t="inlineStr">
        <is>
          <t>Jugador 4</t>
        </is>
      </c>
      <c r="B239" s="8" t="inlineStr">
        <is>
          <t>M22</t>
        </is>
      </c>
      <c r="C239" s="12" t="inlineStr">
        <is>
          <t>Francia</t>
        </is>
      </c>
      <c r="D239" s="12" t="inlineStr">
        <is>
          <t>Alemania</t>
        </is>
      </c>
      <c r="E239" s="8" t="n"/>
      <c r="F239" s="8" t="n"/>
      <c r="G239" s="8">
        <f>IF(OR(ISBLANK(E239),ISBLANK(F239)),"",IF(E239&gt;F239,"Local",IF(E239=F239,"Empate","Visitante")))</f>
        <v/>
      </c>
      <c r="H239" s="8">
        <f>IF(VLOOKUP(B239,PARTIDOS!$A:$I,9,FALSE)="Cerrado",IF(G239=VLOOKUP(B239,PARTIDOS!$A:$I,8,FALSE),IF(AND(E239=VLOOKUP(B239,PARTIDOS!$A:$I,6,FALSE),F239=VLOOKUP(B239,PARTIDOS!$A:$I,7,FALSE)),3,1),0),"")</f>
        <v/>
      </c>
    </row>
    <row r="240" ht="20.1" customHeight="1">
      <c r="A240" s="12" t="inlineStr">
        <is>
          <t>Jugador 4</t>
        </is>
      </c>
      <c r="B240" s="8" t="inlineStr">
        <is>
          <t>M23</t>
        </is>
      </c>
      <c r="C240" s="12" t="inlineStr">
        <is>
          <t>España</t>
        </is>
      </c>
      <c r="D240" s="12" t="inlineStr">
        <is>
          <t>Alemania</t>
        </is>
      </c>
      <c r="E240" s="8" t="n"/>
      <c r="F240" s="8" t="n"/>
      <c r="G240" s="8">
        <f>IF(OR(ISBLANK(E240),ISBLANK(F240)),"",IF(E240&gt;F240,"Local",IF(E240=F240,"Empate","Visitante")))</f>
        <v/>
      </c>
      <c r="H240" s="8">
        <f>IF(VLOOKUP(B240,PARTIDOS!$A:$I,9,FALSE)="Cerrado",IF(G240=VLOOKUP(B240,PARTIDOS!$A:$I,8,FALSE),IF(AND(E240=VLOOKUP(B240,PARTIDOS!$A:$I,6,FALSE),F240=VLOOKUP(B240,PARTIDOS!$A:$I,7,FALSE)),3,1),0),"")</f>
        <v/>
      </c>
    </row>
    <row r="241" ht="20.1" customHeight="1">
      <c r="A241" s="12" t="inlineStr">
        <is>
          <t>Jugador 4</t>
        </is>
      </c>
      <c r="B241" s="8" t="inlineStr">
        <is>
          <t>M24</t>
        </is>
      </c>
      <c r="C241" s="12" t="inlineStr">
        <is>
          <t>Francia</t>
        </is>
      </c>
      <c r="D241" s="12" t="inlineStr">
        <is>
          <t>Inglaterra</t>
        </is>
      </c>
      <c r="E241" s="8" t="n"/>
      <c r="F241" s="8" t="n"/>
      <c r="G241" s="8">
        <f>IF(OR(ISBLANK(E241),ISBLANK(F241)),"",IF(E241&gt;F241,"Local",IF(E241=F241,"Empate","Visitante")))</f>
        <v/>
      </c>
      <c r="H241" s="8">
        <f>IF(VLOOKUP(B241,PARTIDOS!$A:$I,9,FALSE)="Cerrado",IF(G241=VLOOKUP(B241,PARTIDOS!$A:$I,8,FALSE),IF(AND(E241=VLOOKUP(B241,PARTIDOS!$A:$I,6,FALSE),F241=VLOOKUP(B241,PARTIDOS!$A:$I,7,FALSE)),3,1),0),"")</f>
        <v/>
      </c>
    </row>
    <row r="242" ht="20.1" customHeight="1">
      <c r="A242" s="12" t="inlineStr">
        <is>
          <t>Jugador 4</t>
        </is>
      </c>
      <c r="B242" s="8" t="inlineStr">
        <is>
          <t>M25</t>
        </is>
      </c>
      <c r="C242" s="12" t="inlineStr">
        <is>
          <t>Portugal</t>
        </is>
      </c>
      <c r="D242" s="12" t="inlineStr">
        <is>
          <t>Bélgica</t>
        </is>
      </c>
      <c r="E242" s="8" t="n"/>
      <c r="F242" s="8" t="n"/>
      <c r="G242" s="8">
        <f>IF(OR(ISBLANK(E242),ISBLANK(F242)),"",IF(E242&gt;F242,"Local",IF(E242=F242,"Empate","Visitante")))</f>
        <v/>
      </c>
      <c r="H242" s="8">
        <f>IF(VLOOKUP(B242,PARTIDOS!$A:$I,9,FALSE)="Cerrado",IF(G242=VLOOKUP(B242,PARTIDOS!$A:$I,8,FALSE),IF(AND(E242=VLOOKUP(B242,PARTIDOS!$A:$I,6,FALSE),F242=VLOOKUP(B242,PARTIDOS!$A:$I,7,FALSE)),3,1),0),"")</f>
        <v/>
      </c>
    </row>
    <row r="243" ht="20.1" customHeight="1">
      <c r="A243" s="12" t="inlineStr">
        <is>
          <t>Jugador 4</t>
        </is>
      </c>
      <c r="B243" s="8" t="inlineStr">
        <is>
          <t>M26</t>
        </is>
      </c>
      <c r="C243" s="12" t="inlineStr">
        <is>
          <t>Países Bajos</t>
        </is>
      </c>
      <c r="D243" s="12" t="inlineStr">
        <is>
          <t>Italia</t>
        </is>
      </c>
      <c r="E243" s="8" t="n"/>
      <c r="F243" s="8" t="n"/>
      <c r="G243" s="8">
        <f>IF(OR(ISBLANK(E243),ISBLANK(F243)),"",IF(E243&gt;F243,"Local",IF(E243=F243,"Empate","Visitante")))</f>
        <v/>
      </c>
      <c r="H243" s="8">
        <f>IF(VLOOKUP(B243,PARTIDOS!$A:$I,9,FALSE)="Cerrado",IF(G243=VLOOKUP(B243,PARTIDOS!$A:$I,8,FALSE),IF(AND(E243=VLOOKUP(B243,PARTIDOS!$A:$I,6,FALSE),F243=VLOOKUP(B243,PARTIDOS!$A:$I,7,FALSE)),3,1),0),"")</f>
        <v/>
      </c>
    </row>
    <row r="244" ht="20.1" customHeight="1">
      <c r="A244" s="12" t="inlineStr">
        <is>
          <t>Jugador 4</t>
        </is>
      </c>
      <c r="B244" s="8" t="inlineStr">
        <is>
          <t>M27</t>
        </is>
      </c>
      <c r="C244" s="12" t="inlineStr">
        <is>
          <t>Portugal</t>
        </is>
      </c>
      <c r="D244" s="12" t="inlineStr">
        <is>
          <t>Países Bajos</t>
        </is>
      </c>
      <c r="E244" s="8" t="n"/>
      <c r="F244" s="8" t="n"/>
      <c r="G244" s="8">
        <f>IF(OR(ISBLANK(E244),ISBLANK(F244)),"",IF(E244&gt;F244,"Local",IF(E244=F244,"Empate","Visitante")))</f>
        <v/>
      </c>
      <c r="H244" s="8">
        <f>IF(VLOOKUP(B244,PARTIDOS!$A:$I,9,FALSE)="Cerrado",IF(G244=VLOOKUP(B244,PARTIDOS!$A:$I,8,FALSE),IF(AND(E244=VLOOKUP(B244,PARTIDOS!$A:$I,6,FALSE),F244=VLOOKUP(B244,PARTIDOS!$A:$I,7,FALSE)),3,1),0),"")</f>
        <v/>
      </c>
    </row>
    <row r="245" ht="20.1" customHeight="1">
      <c r="A245" s="12" t="inlineStr">
        <is>
          <t>Jugador 4</t>
        </is>
      </c>
      <c r="B245" s="8" t="inlineStr">
        <is>
          <t>M28</t>
        </is>
      </c>
      <c r="C245" s="12" t="inlineStr">
        <is>
          <t>Bélgica</t>
        </is>
      </c>
      <c r="D245" s="12" t="inlineStr">
        <is>
          <t>Italia</t>
        </is>
      </c>
      <c r="E245" s="8" t="n"/>
      <c r="F245" s="8" t="n"/>
      <c r="G245" s="8">
        <f>IF(OR(ISBLANK(E245),ISBLANK(F245)),"",IF(E245&gt;F245,"Local",IF(E245=F245,"Empate","Visitante")))</f>
        <v/>
      </c>
      <c r="H245" s="8">
        <f>IF(VLOOKUP(B245,PARTIDOS!$A:$I,9,FALSE)="Cerrado",IF(G245=VLOOKUP(B245,PARTIDOS!$A:$I,8,FALSE),IF(AND(E245=VLOOKUP(B245,PARTIDOS!$A:$I,6,FALSE),F245=VLOOKUP(B245,PARTIDOS!$A:$I,7,FALSE)),3,1),0),"")</f>
        <v/>
      </c>
    </row>
    <row r="246" ht="20.1" customHeight="1">
      <c r="A246" s="12" t="inlineStr">
        <is>
          <t>Jugador 4</t>
        </is>
      </c>
      <c r="B246" s="8" t="inlineStr">
        <is>
          <t>M29</t>
        </is>
      </c>
      <c r="C246" s="12" t="inlineStr">
        <is>
          <t>Portugal</t>
        </is>
      </c>
      <c r="D246" s="12" t="inlineStr">
        <is>
          <t>Italia</t>
        </is>
      </c>
      <c r="E246" s="8" t="n"/>
      <c r="F246" s="8" t="n"/>
      <c r="G246" s="8">
        <f>IF(OR(ISBLANK(E246),ISBLANK(F246)),"",IF(E246&gt;F246,"Local",IF(E246=F246,"Empate","Visitante")))</f>
        <v/>
      </c>
      <c r="H246" s="8">
        <f>IF(VLOOKUP(B246,PARTIDOS!$A:$I,9,FALSE)="Cerrado",IF(G246=VLOOKUP(B246,PARTIDOS!$A:$I,8,FALSE),IF(AND(E246=VLOOKUP(B246,PARTIDOS!$A:$I,6,FALSE),F246=VLOOKUP(B246,PARTIDOS!$A:$I,7,FALSE)),3,1),0),"")</f>
        <v/>
      </c>
    </row>
    <row r="247" ht="20.1" customHeight="1">
      <c r="A247" s="12" t="inlineStr">
        <is>
          <t>Jugador 4</t>
        </is>
      </c>
      <c r="B247" s="8" t="inlineStr">
        <is>
          <t>M30</t>
        </is>
      </c>
      <c r="C247" s="12" t="inlineStr">
        <is>
          <t>Bélgica</t>
        </is>
      </c>
      <c r="D247" s="12" t="inlineStr">
        <is>
          <t>Países Bajos</t>
        </is>
      </c>
      <c r="E247" s="8" t="n"/>
      <c r="F247" s="8" t="n"/>
      <c r="G247" s="8">
        <f>IF(OR(ISBLANK(E247),ISBLANK(F247)),"",IF(E247&gt;F247,"Local",IF(E247=F247,"Empate","Visitante")))</f>
        <v/>
      </c>
      <c r="H247" s="8">
        <f>IF(VLOOKUP(B247,PARTIDOS!$A:$I,9,FALSE)="Cerrado",IF(G247=VLOOKUP(B247,PARTIDOS!$A:$I,8,FALSE),IF(AND(E247=VLOOKUP(B247,PARTIDOS!$A:$I,6,FALSE),F247=VLOOKUP(B247,PARTIDOS!$A:$I,7,FALSE)),3,1),0),"")</f>
        <v/>
      </c>
    </row>
    <row r="248" ht="20.1" customHeight="1">
      <c r="A248" s="12" t="inlineStr">
        <is>
          <t>Jugador 4</t>
        </is>
      </c>
      <c r="B248" s="8" t="inlineStr">
        <is>
          <t>M31</t>
        </is>
      </c>
      <c r="C248" s="12" t="inlineStr">
        <is>
          <t>Croacia</t>
        </is>
      </c>
      <c r="D248" s="12" t="inlineStr">
        <is>
          <t>Suiza</t>
        </is>
      </c>
      <c r="E248" s="8" t="n"/>
      <c r="F248" s="8" t="n"/>
      <c r="G248" s="8">
        <f>IF(OR(ISBLANK(E248),ISBLANK(F248)),"",IF(E248&gt;F248,"Local",IF(E248=F248,"Empate","Visitante")))</f>
        <v/>
      </c>
      <c r="H248" s="8">
        <f>IF(VLOOKUP(B248,PARTIDOS!$A:$I,9,FALSE)="Cerrado",IF(G248=VLOOKUP(B248,PARTIDOS!$A:$I,8,FALSE),IF(AND(E248=VLOOKUP(B248,PARTIDOS!$A:$I,6,FALSE),F248=VLOOKUP(B248,PARTIDOS!$A:$I,7,FALSE)),3,1),0),"")</f>
        <v/>
      </c>
    </row>
    <row r="249" ht="20.1" customHeight="1">
      <c r="A249" s="12" t="inlineStr">
        <is>
          <t>Jugador 4</t>
        </is>
      </c>
      <c r="B249" s="8" t="inlineStr">
        <is>
          <t>M32</t>
        </is>
      </c>
      <c r="C249" s="12" t="inlineStr">
        <is>
          <t>Dinamarca</t>
        </is>
      </c>
      <c r="D249" s="12" t="inlineStr">
        <is>
          <t>Serbia</t>
        </is>
      </c>
      <c r="E249" s="8" t="n"/>
      <c r="F249" s="8" t="n"/>
      <c r="G249" s="8">
        <f>IF(OR(ISBLANK(E249),ISBLANK(F249)),"",IF(E249&gt;F249,"Local",IF(E249=F249,"Empate","Visitante")))</f>
        <v/>
      </c>
      <c r="H249" s="8">
        <f>IF(VLOOKUP(B249,PARTIDOS!$A:$I,9,FALSE)="Cerrado",IF(G249=VLOOKUP(B249,PARTIDOS!$A:$I,8,FALSE),IF(AND(E249=VLOOKUP(B249,PARTIDOS!$A:$I,6,FALSE),F249=VLOOKUP(B249,PARTIDOS!$A:$I,7,FALSE)),3,1),0),"")</f>
        <v/>
      </c>
    </row>
    <row r="250" ht="20.1" customHeight="1">
      <c r="A250" s="12" t="inlineStr">
        <is>
          <t>Jugador 4</t>
        </is>
      </c>
      <c r="B250" s="8" t="inlineStr">
        <is>
          <t>M33</t>
        </is>
      </c>
      <c r="C250" s="12" t="inlineStr">
        <is>
          <t>Croacia</t>
        </is>
      </c>
      <c r="D250" s="12" t="inlineStr">
        <is>
          <t>Dinamarca</t>
        </is>
      </c>
      <c r="E250" s="8" t="n"/>
      <c r="F250" s="8" t="n"/>
      <c r="G250" s="8">
        <f>IF(OR(ISBLANK(E250),ISBLANK(F250)),"",IF(E250&gt;F250,"Local",IF(E250=F250,"Empate","Visitante")))</f>
        <v/>
      </c>
      <c r="H250" s="8">
        <f>IF(VLOOKUP(B250,PARTIDOS!$A:$I,9,FALSE)="Cerrado",IF(G250=VLOOKUP(B250,PARTIDOS!$A:$I,8,FALSE),IF(AND(E250=VLOOKUP(B250,PARTIDOS!$A:$I,6,FALSE),F250=VLOOKUP(B250,PARTIDOS!$A:$I,7,FALSE)),3,1),0),"")</f>
        <v/>
      </c>
    </row>
    <row r="251" ht="20.1" customHeight="1">
      <c r="A251" s="12" t="inlineStr">
        <is>
          <t>Jugador 4</t>
        </is>
      </c>
      <c r="B251" s="8" t="inlineStr">
        <is>
          <t>M34</t>
        </is>
      </c>
      <c r="C251" s="12" t="inlineStr">
        <is>
          <t>Suiza</t>
        </is>
      </c>
      <c r="D251" s="12" t="inlineStr">
        <is>
          <t>Serbia</t>
        </is>
      </c>
      <c r="E251" s="8" t="n"/>
      <c r="F251" s="8" t="n"/>
      <c r="G251" s="8">
        <f>IF(OR(ISBLANK(E251),ISBLANK(F251)),"",IF(E251&gt;F251,"Local",IF(E251=F251,"Empate","Visitante")))</f>
        <v/>
      </c>
      <c r="H251" s="8">
        <f>IF(VLOOKUP(B251,PARTIDOS!$A:$I,9,FALSE)="Cerrado",IF(G251=VLOOKUP(B251,PARTIDOS!$A:$I,8,FALSE),IF(AND(E251=VLOOKUP(B251,PARTIDOS!$A:$I,6,FALSE),F251=VLOOKUP(B251,PARTIDOS!$A:$I,7,FALSE)),3,1),0),"")</f>
        <v/>
      </c>
    </row>
    <row r="252" ht="20.1" customHeight="1">
      <c r="A252" s="12" t="inlineStr">
        <is>
          <t>Jugador 4</t>
        </is>
      </c>
      <c r="B252" s="8" t="inlineStr">
        <is>
          <t>M35</t>
        </is>
      </c>
      <c r="C252" s="12" t="inlineStr">
        <is>
          <t>Croacia</t>
        </is>
      </c>
      <c r="D252" s="12" t="inlineStr">
        <is>
          <t>Serbia</t>
        </is>
      </c>
      <c r="E252" s="8" t="n"/>
      <c r="F252" s="8" t="n"/>
      <c r="G252" s="8">
        <f>IF(OR(ISBLANK(E252),ISBLANK(F252)),"",IF(E252&gt;F252,"Local",IF(E252=F252,"Empate","Visitante")))</f>
        <v/>
      </c>
      <c r="H252" s="8">
        <f>IF(VLOOKUP(B252,PARTIDOS!$A:$I,9,FALSE)="Cerrado",IF(G252=VLOOKUP(B252,PARTIDOS!$A:$I,8,FALSE),IF(AND(E252=VLOOKUP(B252,PARTIDOS!$A:$I,6,FALSE),F252=VLOOKUP(B252,PARTIDOS!$A:$I,7,FALSE)),3,1),0),"")</f>
        <v/>
      </c>
    </row>
    <row r="253" ht="20.1" customHeight="1">
      <c r="A253" s="12" t="inlineStr">
        <is>
          <t>Jugador 4</t>
        </is>
      </c>
      <c r="B253" s="8" t="inlineStr">
        <is>
          <t>M36</t>
        </is>
      </c>
      <c r="C253" s="12" t="inlineStr">
        <is>
          <t>Suiza</t>
        </is>
      </c>
      <c r="D253" s="12" t="inlineStr">
        <is>
          <t>Dinamarca</t>
        </is>
      </c>
      <c r="E253" s="8" t="n"/>
      <c r="F253" s="8" t="n"/>
      <c r="G253" s="8">
        <f>IF(OR(ISBLANK(E253),ISBLANK(F253)),"",IF(E253&gt;F253,"Local",IF(E253=F253,"Empate","Visitante")))</f>
        <v/>
      </c>
      <c r="H253" s="8">
        <f>IF(VLOOKUP(B253,PARTIDOS!$A:$I,9,FALSE)="Cerrado",IF(G253=VLOOKUP(B253,PARTIDOS!$A:$I,8,FALSE),IF(AND(E253=VLOOKUP(B253,PARTIDOS!$A:$I,6,FALSE),F253=VLOOKUP(B253,PARTIDOS!$A:$I,7,FALSE)),3,1),0),"")</f>
        <v/>
      </c>
    </row>
    <row r="254" ht="20.1" customHeight="1">
      <c r="A254" s="12" t="inlineStr">
        <is>
          <t>Jugador 4</t>
        </is>
      </c>
      <c r="B254" s="8" t="inlineStr">
        <is>
          <t>M37</t>
        </is>
      </c>
      <c r="C254" s="12" t="inlineStr">
        <is>
          <t>Polonia</t>
        </is>
      </c>
      <c r="D254" s="12" t="inlineStr">
        <is>
          <t>Ucrania</t>
        </is>
      </c>
      <c r="E254" s="8" t="n"/>
      <c r="F254" s="8" t="n"/>
      <c r="G254" s="8">
        <f>IF(OR(ISBLANK(E254),ISBLANK(F254)),"",IF(E254&gt;F254,"Local",IF(E254=F254,"Empate","Visitante")))</f>
        <v/>
      </c>
      <c r="H254" s="8">
        <f>IF(VLOOKUP(B254,PARTIDOS!$A:$I,9,FALSE)="Cerrado",IF(G254=VLOOKUP(B254,PARTIDOS!$A:$I,8,FALSE),IF(AND(E254=VLOOKUP(B254,PARTIDOS!$A:$I,6,FALSE),F254=VLOOKUP(B254,PARTIDOS!$A:$I,7,FALSE)),3,1),0),"")</f>
        <v/>
      </c>
    </row>
    <row r="255" ht="20.1" customHeight="1">
      <c r="A255" s="12" t="inlineStr">
        <is>
          <t>Jugador 4</t>
        </is>
      </c>
      <c r="B255" s="8" t="inlineStr">
        <is>
          <t>M38</t>
        </is>
      </c>
      <c r="C255" s="12" t="inlineStr">
        <is>
          <t>Suecia</t>
        </is>
      </c>
      <c r="D255" s="12" t="inlineStr">
        <is>
          <t>Gales</t>
        </is>
      </c>
      <c r="E255" s="8" t="n"/>
      <c r="F255" s="8" t="n"/>
      <c r="G255" s="8">
        <f>IF(OR(ISBLANK(E255),ISBLANK(F255)),"",IF(E255&gt;F255,"Local",IF(E255=F255,"Empate","Visitante")))</f>
        <v/>
      </c>
      <c r="H255" s="8">
        <f>IF(VLOOKUP(B255,PARTIDOS!$A:$I,9,FALSE)="Cerrado",IF(G255=VLOOKUP(B255,PARTIDOS!$A:$I,8,FALSE),IF(AND(E255=VLOOKUP(B255,PARTIDOS!$A:$I,6,FALSE),F255=VLOOKUP(B255,PARTIDOS!$A:$I,7,FALSE)),3,1),0),"")</f>
        <v/>
      </c>
    </row>
    <row r="256" ht="20.1" customHeight="1">
      <c r="A256" s="12" t="inlineStr">
        <is>
          <t>Jugador 4</t>
        </is>
      </c>
      <c r="B256" s="8" t="inlineStr">
        <is>
          <t>M39</t>
        </is>
      </c>
      <c r="C256" s="12" t="inlineStr">
        <is>
          <t>Polonia</t>
        </is>
      </c>
      <c r="D256" s="12" t="inlineStr">
        <is>
          <t>Suecia</t>
        </is>
      </c>
      <c r="E256" s="8" t="n"/>
      <c r="F256" s="8" t="n"/>
      <c r="G256" s="8">
        <f>IF(OR(ISBLANK(E256),ISBLANK(F256)),"",IF(E256&gt;F256,"Local",IF(E256=F256,"Empate","Visitante")))</f>
        <v/>
      </c>
      <c r="H256" s="8">
        <f>IF(VLOOKUP(B256,PARTIDOS!$A:$I,9,FALSE)="Cerrado",IF(G256=VLOOKUP(B256,PARTIDOS!$A:$I,8,FALSE),IF(AND(E256=VLOOKUP(B256,PARTIDOS!$A:$I,6,FALSE),F256=VLOOKUP(B256,PARTIDOS!$A:$I,7,FALSE)),3,1),0),"")</f>
        <v/>
      </c>
    </row>
    <row r="257" ht="20.1" customHeight="1">
      <c r="A257" s="12" t="inlineStr">
        <is>
          <t>Jugador 4</t>
        </is>
      </c>
      <c r="B257" s="8" t="inlineStr">
        <is>
          <t>M40</t>
        </is>
      </c>
      <c r="C257" s="12" t="inlineStr">
        <is>
          <t>Ucrania</t>
        </is>
      </c>
      <c r="D257" s="12" t="inlineStr">
        <is>
          <t>Gales</t>
        </is>
      </c>
      <c r="E257" s="8" t="n"/>
      <c r="F257" s="8" t="n"/>
      <c r="G257" s="8">
        <f>IF(OR(ISBLANK(E257),ISBLANK(F257)),"",IF(E257&gt;F257,"Local",IF(E257=F257,"Empate","Visitante")))</f>
        <v/>
      </c>
      <c r="H257" s="8">
        <f>IF(VLOOKUP(B257,PARTIDOS!$A:$I,9,FALSE)="Cerrado",IF(G257=VLOOKUP(B257,PARTIDOS!$A:$I,8,FALSE),IF(AND(E257=VLOOKUP(B257,PARTIDOS!$A:$I,6,FALSE),F257=VLOOKUP(B257,PARTIDOS!$A:$I,7,FALSE)),3,1),0),"")</f>
        <v/>
      </c>
    </row>
    <row r="258" ht="20.1" customHeight="1">
      <c r="A258" s="12" t="inlineStr">
        <is>
          <t>Jugador 4</t>
        </is>
      </c>
      <c r="B258" s="8" t="inlineStr">
        <is>
          <t>M41</t>
        </is>
      </c>
      <c r="C258" s="12" t="inlineStr">
        <is>
          <t>Polonia</t>
        </is>
      </c>
      <c r="D258" s="12" t="inlineStr">
        <is>
          <t>Gales</t>
        </is>
      </c>
      <c r="E258" s="8" t="n"/>
      <c r="F258" s="8" t="n"/>
      <c r="G258" s="8">
        <f>IF(OR(ISBLANK(E258),ISBLANK(F258)),"",IF(E258&gt;F258,"Local",IF(E258=F258,"Empate","Visitante")))</f>
        <v/>
      </c>
      <c r="H258" s="8">
        <f>IF(VLOOKUP(B258,PARTIDOS!$A:$I,9,FALSE)="Cerrado",IF(G258=VLOOKUP(B258,PARTIDOS!$A:$I,8,FALSE),IF(AND(E258=VLOOKUP(B258,PARTIDOS!$A:$I,6,FALSE),F258=VLOOKUP(B258,PARTIDOS!$A:$I,7,FALSE)),3,1),0),"")</f>
        <v/>
      </c>
    </row>
    <row r="259" ht="20.1" customHeight="1">
      <c r="A259" s="12" t="inlineStr">
        <is>
          <t>Jugador 4</t>
        </is>
      </c>
      <c r="B259" s="8" t="inlineStr">
        <is>
          <t>M42</t>
        </is>
      </c>
      <c r="C259" s="12" t="inlineStr">
        <is>
          <t>Ucrania</t>
        </is>
      </c>
      <c r="D259" s="12" t="inlineStr">
        <is>
          <t>Suecia</t>
        </is>
      </c>
      <c r="E259" s="8" t="n"/>
      <c r="F259" s="8" t="n"/>
      <c r="G259" s="8">
        <f>IF(OR(ISBLANK(E259),ISBLANK(F259)),"",IF(E259&gt;F259,"Local",IF(E259=F259,"Empate","Visitante")))</f>
        <v/>
      </c>
      <c r="H259" s="8">
        <f>IF(VLOOKUP(B259,PARTIDOS!$A:$I,9,FALSE)="Cerrado",IF(G259=VLOOKUP(B259,PARTIDOS!$A:$I,8,FALSE),IF(AND(E259=VLOOKUP(B259,PARTIDOS!$A:$I,6,FALSE),F259=VLOOKUP(B259,PARTIDOS!$A:$I,7,FALSE)),3,1),0),"")</f>
        <v/>
      </c>
    </row>
    <row r="260" ht="20.1" customHeight="1">
      <c r="A260" s="12" t="inlineStr">
        <is>
          <t>Jugador 4</t>
        </is>
      </c>
      <c r="B260" s="8" t="inlineStr">
        <is>
          <t>M43</t>
        </is>
      </c>
      <c r="C260" s="12" t="inlineStr">
        <is>
          <t>Austria</t>
        </is>
      </c>
      <c r="D260" s="12" t="inlineStr">
        <is>
          <t>Hungría</t>
        </is>
      </c>
      <c r="E260" s="8" t="n"/>
      <c r="F260" s="8" t="n"/>
      <c r="G260" s="8">
        <f>IF(OR(ISBLANK(E260),ISBLANK(F260)),"",IF(E260&gt;F260,"Local",IF(E260=F260,"Empate","Visitante")))</f>
        <v/>
      </c>
      <c r="H260" s="8">
        <f>IF(VLOOKUP(B260,PARTIDOS!$A:$I,9,FALSE)="Cerrado",IF(G260=VLOOKUP(B260,PARTIDOS!$A:$I,8,FALSE),IF(AND(E260=VLOOKUP(B260,PARTIDOS!$A:$I,6,FALSE),F260=VLOOKUP(B260,PARTIDOS!$A:$I,7,FALSE)),3,1),0),"")</f>
        <v/>
      </c>
    </row>
    <row r="261" ht="20.1" customHeight="1">
      <c r="A261" s="12" t="inlineStr">
        <is>
          <t>Jugador 4</t>
        </is>
      </c>
      <c r="B261" s="8" t="inlineStr">
        <is>
          <t>M44</t>
        </is>
      </c>
      <c r="C261" s="12" t="inlineStr">
        <is>
          <t>Turquía</t>
        </is>
      </c>
      <c r="D261" s="12" t="inlineStr">
        <is>
          <t>Escocia</t>
        </is>
      </c>
      <c r="E261" s="8" t="n"/>
      <c r="F261" s="8" t="n"/>
      <c r="G261" s="8">
        <f>IF(OR(ISBLANK(E261),ISBLANK(F261)),"",IF(E261&gt;F261,"Local",IF(E261=F261,"Empate","Visitante")))</f>
        <v/>
      </c>
      <c r="H261" s="8">
        <f>IF(VLOOKUP(B261,PARTIDOS!$A:$I,9,FALSE)="Cerrado",IF(G261=VLOOKUP(B261,PARTIDOS!$A:$I,8,FALSE),IF(AND(E261=VLOOKUP(B261,PARTIDOS!$A:$I,6,FALSE),F261=VLOOKUP(B261,PARTIDOS!$A:$I,7,FALSE)),3,1),0),"")</f>
        <v/>
      </c>
    </row>
    <row r="262" ht="20.1" customHeight="1">
      <c r="A262" s="12" t="inlineStr">
        <is>
          <t>Jugador 4</t>
        </is>
      </c>
      <c r="B262" s="8" t="inlineStr">
        <is>
          <t>M45</t>
        </is>
      </c>
      <c r="C262" s="12" t="inlineStr">
        <is>
          <t>Austria</t>
        </is>
      </c>
      <c r="D262" s="12" t="inlineStr">
        <is>
          <t>Turquía</t>
        </is>
      </c>
      <c r="E262" s="8" t="n"/>
      <c r="F262" s="8" t="n"/>
      <c r="G262" s="8">
        <f>IF(OR(ISBLANK(E262),ISBLANK(F262)),"",IF(E262&gt;F262,"Local",IF(E262=F262,"Empate","Visitante")))</f>
        <v/>
      </c>
      <c r="H262" s="8">
        <f>IF(VLOOKUP(B262,PARTIDOS!$A:$I,9,FALSE)="Cerrado",IF(G262=VLOOKUP(B262,PARTIDOS!$A:$I,8,FALSE),IF(AND(E262=VLOOKUP(B262,PARTIDOS!$A:$I,6,FALSE),F262=VLOOKUP(B262,PARTIDOS!$A:$I,7,FALSE)),3,1),0),"")</f>
        <v/>
      </c>
    </row>
    <row r="263" ht="20.1" customHeight="1">
      <c r="A263" s="12" t="inlineStr">
        <is>
          <t>Jugador 4</t>
        </is>
      </c>
      <c r="B263" s="8" t="inlineStr">
        <is>
          <t>M46</t>
        </is>
      </c>
      <c r="C263" s="12" t="inlineStr">
        <is>
          <t>Hungría</t>
        </is>
      </c>
      <c r="D263" s="12" t="inlineStr">
        <is>
          <t>Escocia</t>
        </is>
      </c>
      <c r="E263" s="8" t="n"/>
      <c r="F263" s="8" t="n"/>
      <c r="G263" s="8">
        <f>IF(OR(ISBLANK(E263),ISBLANK(F263)),"",IF(E263&gt;F263,"Local",IF(E263=F263,"Empate","Visitante")))</f>
        <v/>
      </c>
      <c r="H263" s="8">
        <f>IF(VLOOKUP(B263,PARTIDOS!$A:$I,9,FALSE)="Cerrado",IF(G263=VLOOKUP(B263,PARTIDOS!$A:$I,8,FALSE),IF(AND(E263=VLOOKUP(B263,PARTIDOS!$A:$I,6,FALSE),F263=VLOOKUP(B263,PARTIDOS!$A:$I,7,FALSE)),3,1),0),"")</f>
        <v/>
      </c>
    </row>
    <row r="264" ht="20.1" customHeight="1">
      <c r="A264" s="12" t="inlineStr">
        <is>
          <t>Jugador 4</t>
        </is>
      </c>
      <c r="B264" s="8" t="inlineStr">
        <is>
          <t>M47</t>
        </is>
      </c>
      <c r="C264" s="12" t="inlineStr">
        <is>
          <t>Austria</t>
        </is>
      </c>
      <c r="D264" s="12" t="inlineStr">
        <is>
          <t>Escocia</t>
        </is>
      </c>
      <c r="E264" s="8" t="n"/>
      <c r="F264" s="8" t="n"/>
      <c r="G264" s="8">
        <f>IF(OR(ISBLANK(E264),ISBLANK(F264)),"",IF(E264&gt;F264,"Local",IF(E264=F264,"Empate","Visitante")))</f>
        <v/>
      </c>
      <c r="H264" s="8">
        <f>IF(VLOOKUP(B264,PARTIDOS!$A:$I,9,FALSE)="Cerrado",IF(G264=VLOOKUP(B264,PARTIDOS!$A:$I,8,FALSE),IF(AND(E264=VLOOKUP(B264,PARTIDOS!$A:$I,6,FALSE),F264=VLOOKUP(B264,PARTIDOS!$A:$I,7,FALSE)),3,1),0),"")</f>
        <v/>
      </c>
    </row>
    <row r="265" ht="20.1" customHeight="1">
      <c r="A265" s="12" t="inlineStr">
        <is>
          <t>Jugador 4</t>
        </is>
      </c>
      <c r="B265" s="8" t="inlineStr">
        <is>
          <t>M48</t>
        </is>
      </c>
      <c r="C265" s="12" t="inlineStr">
        <is>
          <t>Hungría</t>
        </is>
      </c>
      <c r="D265" s="12" t="inlineStr">
        <is>
          <t>Turquía</t>
        </is>
      </c>
      <c r="E265" s="8" t="n"/>
      <c r="F265" s="8" t="n"/>
      <c r="G265" s="8">
        <f>IF(OR(ISBLANK(E265),ISBLANK(F265)),"",IF(E265&gt;F265,"Local",IF(E265=F265,"Empate","Visitante")))</f>
        <v/>
      </c>
      <c r="H265" s="8">
        <f>IF(VLOOKUP(B265,PARTIDOS!$A:$I,9,FALSE)="Cerrado",IF(G265=VLOOKUP(B265,PARTIDOS!$A:$I,8,FALSE),IF(AND(E265=VLOOKUP(B265,PARTIDOS!$A:$I,6,FALSE),F265=VLOOKUP(B265,PARTIDOS!$A:$I,7,FALSE)),3,1),0),"")</f>
        <v/>
      </c>
    </row>
    <row r="266" ht="20.1" customHeight="1">
      <c r="A266" s="12" t="inlineStr">
        <is>
          <t>Jugador 4</t>
        </is>
      </c>
      <c r="B266" s="8" t="inlineStr">
        <is>
          <t>M49</t>
        </is>
      </c>
      <c r="C266" s="12" t="inlineStr">
        <is>
          <t>República Checa</t>
        </is>
      </c>
      <c r="D266" s="12" t="inlineStr">
        <is>
          <t>Noruega</t>
        </is>
      </c>
      <c r="E266" s="8" t="n"/>
      <c r="F266" s="8" t="n"/>
      <c r="G266" s="8">
        <f>IF(OR(ISBLANK(E266),ISBLANK(F266)),"",IF(E266&gt;F266,"Local",IF(E266=F266,"Empate","Visitante")))</f>
        <v/>
      </c>
      <c r="H266" s="8">
        <f>IF(VLOOKUP(B266,PARTIDOS!$A:$I,9,FALSE)="Cerrado",IF(G266=VLOOKUP(B266,PARTIDOS!$A:$I,8,FALSE),IF(AND(E266=VLOOKUP(B266,PARTIDOS!$A:$I,6,FALSE),F266=VLOOKUP(B266,PARTIDOS!$A:$I,7,FALSE)),3,1),0),"")</f>
        <v/>
      </c>
    </row>
    <row r="267" ht="20.1" customHeight="1">
      <c r="A267" s="12" t="inlineStr">
        <is>
          <t>Jugador 4</t>
        </is>
      </c>
      <c r="B267" s="8" t="inlineStr">
        <is>
          <t>M50</t>
        </is>
      </c>
      <c r="C267" s="12" t="inlineStr">
        <is>
          <t>Japón</t>
        </is>
      </c>
      <c r="D267" s="12" t="inlineStr">
        <is>
          <t>Irán</t>
        </is>
      </c>
      <c r="E267" s="8" t="n"/>
      <c r="F267" s="8" t="n"/>
      <c r="G267" s="8">
        <f>IF(OR(ISBLANK(E267),ISBLANK(F267)),"",IF(E267&gt;F267,"Local",IF(E267=F267,"Empate","Visitante")))</f>
        <v/>
      </c>
      <c r="H267" s="8">
        <f>IF(VLOOKUP(B267,PARTIDOS!$A:$I,9,FALSE)="Cerrado",IF(G267=VLOOKUP(B267,PARTIDOS!$A:$I,8,FALSE),IF(AND(E267=VLOOKUP(B267,PARTIDOS!$A:$I,6,FALSE),F267=VLOOKUP(B267,PARTIDOS!$A:$I,7,FALSE)),3,1),0),"")</f>
        <v/>
      </c>
    </row>
    <row r="268" ht="20.1" customHeight="1">
      <c r="A268" s="12" t="inlineStr">
        <is>
          <t>Jugador 4</t>
        </is>
      </c>
      <c r="B268" s="8" t="inlineStr">
        <is>
          <t>M51</t>
        </is>
      </c>
      <c r="C268" s="12" t="inlineStr">
        <is>
          <t>República Checa</t>
        </is>
      </c>
      <c r="D268" s="12" t="inlineStr">
        <is>
          <t>Japón</t>
        </is>
      </c>
      <c r="E268" s="8" t="n"/>
      <c r="F268" s="8" t="n"/>
      <c r="G268" s="8">
        <f>IF(OR(ISBLANK(E268),ISBLANK(F268)),"",IF(E268&gt;F268,"Local",IF(E268=F268,"Empate","Visitante")))</f>
        <v/>
      </c>
      <c r="H268" s="8">
        <f>IF(VLOOKUP(B268,PARTIDOS!$A:$I,9,FALSE)="Cerrado",IF(G268=VLOOKUP(B268,PARTIDOS!$A:$I,8,FALSE),IF(AND(E268=VLOOKUP(B268,PARTIDOS!$A:$I,6,FALSE),F268=VLOOKUP(B268,PARTIDOS!$A:$I,7,FALSE)),3,1),0),"")</f>
        <v/>
      </c>
    </row>
    <row r="269" ht="20.1" customHeight="1">
      <c r="A269" s="12" t="inlineStr">
        <is>
          <t>Jugador 4</t>
        </is>
      </c>
      <c r="B269" s="8" t="inlineStr">
        <is>
          <t>M52</t>
        </is>
      </c>
      <c r="C269" s="12" t="inlineStr">
        <is>
          <t>Noruega</t>
        </is>
      </c>
      <c r="D269" s="12" t="inlineStr">
        <is>
          <t>Irán</t>
        </is>
      </c>
      <c r="E269" s="8" t="n"/>
      <c r="F269" s="8" t="n"/>
      <c r="G269" s="8">
        <f>IF(OR(ISBLANK(E269),ISBLANK(F269)),"",IF(E269&gt;F269,"Local",IF(E269=F269,"Empate","Visitante")))</f>
        <v/>
      </c>
      <c r="H269" s="8">
        <f>IF(VLOOKUP(B269,PARTIDOS!$A:$I,9,FALSE)="Cerrado",IF(G269=VLOOKUP(B269,PARTIDOS!$A:$I,8,FALSE),IF(AND(E269=VLOOKUP(B269,PARTIDOS!$A:$I,6,FALSE),F269=VLOOKUP(B269,PARTIDOS!$A:$I,7,FALSE)),3,1),0),"")</f>
        <v/>
      </c>
    </row>
    <row r="270" ht="20.1" customHeight="1">
      <c r="A270" s="12" t="inlineStr">
        <is>
          <t>Jugador 4</t>
        </is>
      </c>
      <c r="B270" s="8" t="inlineStr">
        <is>
          <t>M53</t>
        </is>
      </c>
      <c r="C270" s="12" t="inlineStr">
        <is>
          <t>República Checa</t>
        </is>
      </c>
      <c r="D270" s="12" t="inlineStr">
        <is>
          <t>Irán</t>
        </is>
      </c>
      <c r="E270" s="8" t="n"/>
      <c r="F270" s="8" t="n"/>
      <c r="G270" s="8">
        <f>IF(OR(ISBLANK(E270),ISBLANK(F270)),"",IF(E270&gt;F270,"Local",IF(E270=F270,"Empate","Visitante")))</f>
        <v/>
      </c>
      <c r="H270" s="8">
        <f>IF(VLOOKUP(B270,PARTIDOS!$A:$I,9,FALSE)="Cerrado",IF(G270=VLOOKUP(B270,PARTIDOS!$A:$I,8,FALSE),IF(AND(E270=VLOOKUP(B270,PARTIDOS!$A:$I,6,FALSE),F270=VLOOKUP(B270,PARTIDOS!$A:$I,7,FALSE)),3,1),0),"")</f>
        <v/>
      </c>
    </row>
    <row r="271" ht="20.1" customHeight="1">
      <c r="A271" s="12" t="inlineStr">
        <is>
          <t>Jugador 4</t>
        </is>
      </c>
      <c r="B271" s="8" t="inlineStr">
        <is>
          <t>M54</t>
        </is>
      </c>
      <c r="C271" s="12" t="inlineStr">
        <is>
          <t>Noruega</t>
        </is>
      </c>
      <c r="D271" s="12" t="inlineStr">
        <is>
          <t>Japón</t>
        </is>
      </c>
      <c r="E271" s="8" t="n"/>
      <c r="F271" s="8" t="n"/>
      <c r="G271" s="8">
        <f>IF(OR(ISBLANK(E271),ISBLANK(F271)),"",IF(E271&gt;F271,"Local",IF(E271=F271,"Empate","Visitante")))</f>
        <v/>
      </c>
      <c r="H271" s="8">
        <f>IF(VLOOKUP(B271,PARTIDOS!$A:$I,9,FALSE)="Cerrado",IF(G271=VLOOKUP(B271,PARTIDOS!$A:$I,8,FALSE),IF(AND(E271=VLOOKUP(B271,PARTIDOS!$A:$I,6,FALSE),F271=VLOOKUP(B271,PARTIDOS!$A:$I,7,FALSE)),3,1),0),"")</f>
        <v/>
      </c>
    </row>
    <row r="272" ht="20.1" customHeight="1">
      <c r="A272" s="12" t="inlineStr">
        <is>
          <t>Jugador 4</t>
        </is>
      </c>
      <c r="B272" s="8" t="inlineStr">
        <is>
          <t>M55</t>
        </is>
      </c>
      <c r="C272" s="12" t="inlineStr">
        <is>
          <t>Corea del Sur</t>
        </is>
      </c>
      <c r="D272" s="12" t="inlineStr">
        <is>
          <t>Australia</t>
        </is>
      </c>
      <c r="E272" s="8" t="n"/>
      <c r="F272" s="8" t="n"/>
      <c r="G272" s="8">
        <f>IF(OR(ISBLANK(E272),ISBLANK(F272)),"",IF(E272&gt;F272,"Local",IF(E272=F272,"Empate","Visitante")))</f>
        <v/>
      </c>
      <c r="H272" s="8">
        <f>IF(VLOOKUP(B272,PARTIDOS!$A:$I,9,FALSE)="Cerrado",IF(G272=VLOOKUP(B272,PARTIDOS!$A:$I,8,FALSE),IF(AND(E272=VLOOKUP(B272,PARTIDOS!$A:$I,6,FALSE),F272=VLOOKUP(B272,PARTIDOS!$A:$I,7,FALSE)),3,1),0),"")</f>
        <v/>
      </c>
    </row>
    <row r="273" ht="20.1" customHeight="1">
      <c r="A273" s="12" t="inlineStr">
        <is>
          <t>Jugador 4</t>
        </is>
      </c>
      <c r="B273" s="8" t="inlineStr">
        <is>
          <t>M56</t>
        </is>
      </c>
      <c r="C273" s="12" t="inlineStr">
        <is>
          <t>Marruecos</t>
        </is>
      </c>
      <c r="D273" s="12" t="inlineStr">
        <is>
          <t>Senegal</t>
        </is>
      </c>
      <c r="E273" s="8" t="n"/>
      <c r="F273" s="8" t="n"/>
      <c r="G273" s="8">
        <f>IF(OR(ISBLANK(E273),ISBLANK(F273)),"",IF(E273&gt;F273,"Local",IF(E273=F273,"Empate","Visitante")))</f>
        <v/>
      </c>
      <c r="H273" s="8">
        <f>IF(VLOOKUP(B273,PARTIDOS!$A:$I,9,FALSE)="Cerrado",IF(G273=VLOOKUP(B273,PARTIDOS!$A:$I,8,FALSE),IF(AND(E273=VLOOKUP(B273,PARTIDOS!$A:$I,6,FALSE),F273=VLOOKUP(B273,PARTIDOS!$A:$I,7,FALSE)),3,1),0),"")</f>
        <v/>
      </c>
    </row>
    <row r="274" ht="20.1" customHeight="1">
      <c r="A274" s="12" t="inlineStr">
        <is>
          <t>Jugador 4</t>
        </is>
      </c>
      <c r="B274" s="8" t="inlineStr">
        <is>
          <t>M57</t>
        </is>
      </c>
      <c r="C274" s="12" t="inlineStr">
        <is>
          <t>Corea del Sur</t>
        </is>
      </c>
      <c r="D274" s="12" t="inlineStr">
        <is>
          <t>Marruecos</t>
        </is>
      </c>
      <c r="E274" s="8" t="n"/>
      <c r="F274" s="8" t="n"/>
      <c r="G274" s="8">
        <f>IF(OR(ISBLANK(E274),ISBLANK(F274)),"",IF(E274&gt;F274,"Local",IF(E274=F274,"Empate","Visitante")))</f>
        <v/>
      </c>
      <c r="H274" s="8">
        <f>IF(VLOOKUP(B274,PARTIDOS!$A:$I,9,FALSE)="Cerrado",IF(G274=VLOOKUP(B274,PARTIDOS!$A:$I,8,FALSE),IF(AND(E274=VLOOKUP(B274,PARTIDOS!$A:$I,6,FALSE),F274=VLOOKUP(B274,PARTIDOS!$A:$I,7,FALSE)),3,1),0),"")</f>
        <v/>
      </c>
    </row>
    <row r="275" ht="20.1" customHeight="1">
      <c r="A275" s="12" t="inlineStr">
        <is>
          <t>Jugador 4</t>
        </is>
      </c>
      <c r="B275" s="8" t="inlineStr">
        <is>
          <t>M58</t>
        </is>
      </c>
      <c r="C275" s="12" t="inlineStr">
        <is>
          <t>Australia</t>
        </is>
      </c>
      <c r="D275" s="12" t="inlineStr">
        <is>
          <t>Senegal</t>
        </is>
      </c>
      <c r="E275" s="8" t="n"/>
      <c r="F275" s="8" t="n"/>
      <c r="G275" s="8">
        <f>IF(OR(ISBLANK(E275),ISBLANK(F275)),"",IF(E275&gt;F275,"Local",IF(E275=F275,"Empate","Visitante")))</f>
        <v/>
      </c>
      <c r="H275" s="8">
        <f>IF(VLOOKUP(B275,PARTIDOS!$A:$I,9,FALSE)="Cerrado",IF(G275=VLOOKUP(B275,PARTIDOS!$A:$I,8,FALSE),IF(AND(E275=VLOOKUP(B275,PARTIDOS!$A:$I,6,FALSE),F275=VLOOKUP(B275,PARTIDOS!$A:$I,7,FALSE)),3,1),0),"")</f>
        <v/>
      </c>
    </row>
    <row r="276" ht="20.1" customHeight="1">
      <c r="A276" s="12" t="inlineStr">
        <is>
          <t>Jugador 4</t>
        </is>
      </c>
      <c r="B276" s="8" t="inlineStr">
        <is>
          <t>M59</t>
        </is>
      </c>
      <c r="C276" s="12" t="inlineStr">
        <is>
          <t>Corea del Sur</t>
        </is>
      </c>
      <c r="D276" s="12" t="inlineStr">
        <is>
          <t>Senegal</t>
        </is>
      </c>
      <c r="E276" s="8" t="n"/>
      <c r="F276" s="8" t="n"/>
      <c r="G276" s="8">
        <f>IF(OR(ISBLANK(E276),ISBLANK(F276)),"",IF(E276&gt;F276,"Local",IF(E276=F276,"Empate","Visitante")))</f>
        <v/>
      </c>
      <c r="H276" s="8">
        <f>IF(VLOOKUP(B276,PARTIDOS!$A:$I,9,FALSE)="Cerrado",IF(G276=VLOOKUP(B276,PARTIDOS!$A:$I,8,FALSE),IF(AND(E276=VLOOKUP(B276,PARTIDOS!$A:$I,6,FALSE),F276=VLOOKUP(B276,PARTIDOS!$A:$I,7,FALSE)),3,1),0),"")</f>
        <v/>
      </c>
    </row>
    <row r="277" ht="20.1" customHeight="1">
      <c r="A277" s="12" t="inlineStr">
        <is>
          <t>Jugador 4</t>
        </is>
      </c>
      <c r="B277" s="8" t="inlineStr">
        <is>
          <t>M60</t>
        </is>
      </c>
      <c r="C277" s="12" t="inlineStr">
        <is>
          <t>Australia</t>
        </is>
      </c>
      <c r="D277" s="12" t="inlineStr">
        <is>
          <t>Marruecos</t>
        </is>
      </c>
      <c r="E277" s="8" t="n"/>
      <c r="F277" s="8" t="n"/>
      <c r="G277" s="8">
        <f>IF(OR(ISBLANK(E277),ISBLANK(F277)),"",IF(E277&gt;F277,"Local",IF(E277=F277,"Empate","Visitante")))</f>
        <v/>
      </c>
      <c r="H277" s="8">
        <f>IF(VLOOKUP(B277,PARTIDOS!$A:$I,9,FALSE)="Cerrado",IF(G277=VLOOKUP(B277,PARTIDOS!$A:$I,8,FALSE),IF(AND(E277=VLOOKUP(B277,PARTIDOS!$A:$I,6,FALSE),F277=VLOOKUP(B277,PARTIDOS!$A:$I,7,FALSE)),3,1),0),"")</f>
        <v/>
      </c>
    </row>
    <row r="278" ht="20.1" customHeight="1">
      <c r="A278" s="12" t="inlineStr">
        <is>
          <t>Jugador 4</t>
        </is>
      </c>
      <c r="B278" s="8" t="inlineStr">
        <is>
          <t>M61</t>
        </is>
      </c>
      <c r="C278" s="12" t="inlineStr">
        <is>
          <t>Túnez</t>
        </is>
      </c>
      <c r="D278" s="12" t="inlineStr">
        <is>
          <t>Nigeria</t>
        </is>
      </c>
      <c r="E278" s="8" t="n"/>
      <c r="F278" s="8" t="n"/>
      <c r="G278" s="8">
        <f>IF(OR(ISBLANK(E278),ISBLANK(F278)),"",IF(E278&gt;F278,"Local",IF(E278=F278,"Empate","Visitante")))</f>
        <v/>
      </c>
      <c r="H278" s="8">
        <f>IF(VLOOKUP(B278,PARTIDOS!$A:$I,9,FALSE)="Cerrado",IF(G278=VLOOKUP(B278,PARTIDOS!$A:$I,8,FALSE),IF(AND(E278=VLOOKUP(B278,PARTIDOS!$A:$I,6,FALSE),F278=VLOOKUP(B278,PARTIDOS!$A:$I,7,FALSE)),3,1),0),"")</f>
        <v/>
      </c>
    </row>
    <row r="279" ht="20.1" customHeight="1">
      <c r="A279" s="12" t="inlineStr">
        <is>
          <t>Jugador 4</t>
        </is>
      </c>
      <c r="B279" s="8" t="inlineStr">
        <is>
          <t>M62</t>
        </is>
      </c>
      <c r="C279" s="12" t="inlineStr">
        <is>
          <t>Camerún</t>
        </is>
      </c>
      <c r="D279" s="12" t="inlineStr">
        <is>
          <t>Egipto</t>
        </is>
      </c>
      <c r="E279" s="8" t="n"/>
      <c r="F279" s="8" t="n"/>
      <c r="G279" s="8">
        <f>IF(OR(ISBLANK(E279),ISBLANK(F279)),"",IF(E279&gt;F279,"Local",IF(E279=F279,"Empate","Visitante")))</f>
        <v/>
      </c>
      <c r="H279" s="8">
        <f>IF(VLOOKUP(B279,PARTIDOS!$A:$I,9,FALSE)="Cerrado",IF(G279=VLOOKUP(B279,PARTIDOS!$A:$I,8,FALSE),IF(AND(E279=VLOOKUP(B279,PARTIDOS!$A:$I,6,FALSE),F279=VLOOKUP(B279,PARTIDOS!$A:$I,7,FALSE)),3,1),0),"")</f>
        <v/>
      </c>
    </row>
    <row r="280" ht="20.1" customHeight="1">
      <c r="A280" s="12" t="inlineStr">
        <is>
          <t>Jugador 4</t>
        </is>
      </c>
      <c r="B280" s="8" t="inlineStr">
        <is>
          <t>M63</t>
        </is>
      </c>
      <c r="C280" s="12" t="inlineStr">
        <is>
          <t>Túnez</t>
        </is>
      </c>
      <c r="D280" s="12" t="inlineStr">
        <is>
          <t>Camerún</t>
        </is>
      </c>
      <c r="E280" s="8" t="n"/>
      <c r="F280" s="8" t="n"/>
      <c r="G280" s="8">
        <f>IF(OR(ISBLANK(E280),ISBLANK(F280)),"",IF(E280&gt;F280,"Local",IF(E280=F280,"Empate","Visitante")))</f>
        <v/>
      </c>
      <c r="H280" s="8">
        <f>IF(VLOOKUP(B280,PARTIDOS!$A:$I,9,FALSE)="Cerrado",IF(G280=VLOOKUP(B280,PARTIDOS!$A:$I,8,FALSE),IF(AND(E280=VLOOKUP(B280,PARTIDOS!$A:$I,6,FALSE),F280=VLOOKUP(B280,PARTIDOS!$A:$I,7,FALSE)),3,1),0),"")</f>
        <v/>
      </c>
    </row>
    <row r="281" ht="20.1" customHeight="1">
      <c r="A281" s="12" t="inlineStr">
        <is>
          <t>Jugador 4</t>
        </is>
      </c>
      <c r="B281" s="8" t="inlineStr">
        <is>
          <t>M64</t>
        </is>
      </c>
      <c r="C281" s="12" t="inlineStr">
        <is>
          <t>Nigeria</t>
        </is>
      </c>
      <c r="D281" s="12" t="inlineStr">
        <is>
          <t>Egipto</t>
        </is>
      </c>
      <c r="E281" s="8" t="n"/>
      <c r="F281" s="8" t="n"/>
      <c r="G281" s="8">
        <f>IF(OR(ISBLANK(E281),ISBLANK(F281)),"",IF(E281&gt;F281,"Local",IF(E281=F281,"Empate","Visitante")))</f>
        <v/>
      </c>
      <c r="H281" s="8">
        <f>IF(VLOOKUP(B281,PARTIDOS!$A:$I,9,FALSE)="Cerrado",IF(G281=VLOOKUP(B281,PARTIDOS!$A:$I,8,FALSE),IF(AND(E281=VLOOKUP(B281,PARTIDOS!$A:$I,6,FALSE),F281=VLOOKUP(B281,PARTIDOS!$A:$I,7,FALSE)),3,1),0),"")</f>
        <v/>
      </c>
    </row>
    <row r="282" ht="20.1" customHeight="1">
      <c r="A282" s="12" t="inlineStr">
        <is>
          <t>Jugador 4</t>
        </is>
      </c>
      <c r="B282" s="8" t="inlineStr">
        <is>
          <t>M65</t>
        </is>
      </c>
      <c r="C282" s="12" t="inlineStr">
        <is>
          <t>Túnez</t>
        </is>
      </c>
      <c r="D282" s="12" t="inlineStr">
        <is>
          <t>Egipto</t>
        </is>
      </c>
      <c r="E282" s="8" t="n"/>
      <c r="F282" s="8" t="n"/>
      <c r="G282" s="8">
        <f>IF(OR(ISBLANK(E282),ISBLANK(F282)),"",IF(E282&gt;F282,"Local",IF(E282=F282,"Empate","Visitante")))</f>
        <v/>
      </c>
      <c r="H282" s="8">
        <f>IF(VLOOKUP(B282,PARTIDOS!$A:$I,9,FALSE)="Cerrado",IF(G282=VLOOKUP(B282,PARTIDOS!$A:$I,8,FALSE),IF(AND(E282=VLOOKUP(B282,PARTIDOS!$A:$I,6,FALSE),F282=VLOOKUP(B282,PARTIDOS!$A:$I,7,FALSE)),3,1),0),"")</f>
        <v/>
      </c>
    </row>
    <row r="283" ht="20.1" customHeight="1">
      <c r="A283" s="12" t="inlineStr">
        <is>
          <t>Jugador 4</t>
        </is>
      </c>
      <c r="B283" s="8" t="inlineStr">
        <is>
          <t>M66</t>
        </is>
      </c>
      <c r="C283" s="12" t="inlineStr">
        <is>
          <t>Nigeria</t>
        </is>
      </c>
      <c r="D283" s="12" t="inlineStr">
        <is>
          <t>Camerún</t>
        </is>
      </c>
      <c r="E283" s="8" t="n"/>
      <c r="F283" s="8" t="n"/>
      <c r="G283" s="8">
        <f>IF(OR(ISBLANK(E283),ISBLANK(F283)),"",IF(E283&gt;F283,"Local",IF(E283=F283,"Empate","Visitante")))</f>
        <v/>
      </c>
      <c r="H283" s="8">
        <f>IF(VLOOKUP(B283,PARTIDOS!$A:$I,9,FALSE)="Cerrado",IF(G283=VLOOKUP(B283,PARTIDOS!$A:$I,8,FALSE),IF(AND(E283=VLOOKUP(B283,PARTIDOS!$A:$I,6,FALSE),F283=VLOOKUP(B283,PARTIDOS!$A:$I,7,FALSE)),3,1),0),"")</f>
        <v/>
      </c>
    </row>
    <row r="284" ht="20.1" customHeight="1">
      <c r="A284" s="12" t="inlineStr">
        <is>
          <t>Jugador 4</t>
        </is>
      </c>
      <c r="B284" s="8" t="inlineStr">
        <is>
          <t>M67</t>
        </is>
      </c>
      <c r="C284" s="12" t="inlineStr">
        <is>
          <t>Costa de Marfil</t>
        </is>
      </c>
      <c r="D284" s="12" t="inlineStr">
        <is>
          <t>Sudáfrica</t>
        </is>
      </c>
      <c r="E284" s="8" t="n"/>
      <c r="F284" s="8" t="n"/>
      <c r="G284" s="8">
        <f>IF(OR(ISBLANK(E284),ISBLANK(F284)),"",IF(E284&gt;F284,"Local",IF(E284=F284,"Empate","Visitante")))</f>
        <v/>
      </c>
      <c r="H284" s="8">
        <f>IF(VLOOKUP(B284,PARTIDOS!$A:$I,9,FALSE)="Cerrado",IF(G284=VLOOKUP(B284,PARTIDOS!$A:$I,8,FALSE),IF(AND(E284=VLOOKUP(B284,PARTIDOS!$A:$I,6,FALSE),F284=VLOOKUP(B284,PARTIDOS!$A:$I,7,FALSE)),3,1),0),"")</f>
        <v/>
      </c>
    </row>
    <row r="285" ht="20.1" customHeight="1">
      <c r="A285" s="12" t="inlineStr">
        <is>
          <t>Jugador 4</t>
        </is>
      </c>
      <c r="B285" s="8" t="inlineStr">
        <is>
          <t>M68</t>
        </is>
      </c>
      <c r="C285" s="12" t="inlineStr">
        <is>
          <t>Panáma</t>
        </is>
      </c>
      <c r="D285" s="12" t="inlineStr">
        <is>
          <t>Nueva Zelanda</t>
        </is>
      </c>
      <c r="E285" s="8" t="n"/>
      <c r="F285" s="8" t="n"/>
      <c r="G285" s="8">
        <f>IF(OR(ISBLANK(E285),ISBLANK(F285)),"",IF(E285&gt;F285,"Local",IF(E285=F285,"Empate","Visitante")))</f>
        <v/>
      </c>
      <c r="H285" s="8">
        <f>IF(VLOOKUP(B285,PARTIDOS!$A:$I,9,FALSE)="Cerrado",IF(G285=VLOOKUP(B285,PARTIDOS!$A:$I,8,FALSE),IF(AND(E285=VLOOKUP(B285,PARTIDOS!$A:$I,6,FALSE),F285=VLOOKUP(B285,PARTIDOS!$A:$I,7,FALSE)),3,1),0),"")</f>
        <v/>
      </c>
    </row>
    <row r="286" ht="20.1" customHeight="1">
      <c r="A286" s="12" t="inlineStr">
        <is>
          <t>Jugador 4</t>
        </is>
      </c>
      <c r="B286" s="8" t="inlineStr">
        <is>
          <t>M69</t>
        </is>
      </c>
      <c r="C286" s="12" t="inlineStr">
        <is>
          <t>Costa de Marfil</t>
        </is>
      </c>
      <c r="D286" s="12" t="inlineStr">
        <is>
          <t>Panáma</t>
        </is>
      </c>
      <c r="E286" s="8" t="n"/>
      <c r="F286" s="8" t="n"/>
      <c r="G286" s="8">
        <f>IF(OR(ISBLANK(E286),ISBLANK(F286)),"",IF(E286&gt;F286,"Local",IF(E286=F286,"Empate","Visitante")))</f>
        <v/>
      </c>
      <c r="H286" s="8">
        <f>IF(VLOOKUP(B286,PARTIDOS!$A:$I,9,FALSE)="Cerrado",IF(G286=VLOOKUP(B286,PARTIDOS!$A:$I,8,FALSE),IF(AND(E286=VLOOKUP(B286,PARTIDOS!$A:$I,6,FALSE),F286=VLOOKUP(B286,PARTIDOS!$A:$I,7,FALSE)),3,1),0),"")</f>
        <v/>
      </c>
    </row>
    <row r="287" ht="20.1" customHeight="1">
      <c r="A287" s="12" t="inlineStr">
        <is>
          <t>Jugador 4</t>
        </is>
      </c>
      <c r="B287" s="8" t="inlineStr">
        <is>
          <t>M70</t>
        </is>
      </c>
      <c r="C287" s="12" t="inlineStr">
        <is>
          <t>Sudáfrica</t>
        </is>
      </c>
      <c r="D287" s="12" t="inlineStr">
        <is>
          <t>Nueva Zelanda</t>
        </is>
      </c>
      <c r="E287" s="8" t="n"/>
      <c r="F287" s="8" t="n"/>
      <c r="G287" s="8">
        <f>IF(OR(ISBLANK(E287),ISBLANK(F287)),"",IF(E287&gt;F287,"Local",IF(E287=F287,"Empate","Visitante")))</f>
        <v/>
      </c>
      <c r="H287" s="8">
        <f>IF(VLOOKUP(B287,PARTIDOS!$A:$I,9,FALSE)="Cerrado",IF(G287=VLOOKUP(B287,PARTIDOS!$A:$I,8,FALSE),IF(AND(E287=VLOOKUP(B287,PARTIDOS!$A:$I,6,FALSE),F287=VLOOKUP(B287,PARTIDOS!$A:$I,7,FALSE)),3,1),0),"")</f>
        <v/>
      </c>
    </row>
    <row r="288" ht="20.1" customHeight="1">
      <c r="A288" s="12" t="inlineStr">
        <is>
          <t>Jugador 4</t>
        </is>
      </c>
      <c r="B288" s="8" t="inlineStr">
        <is>
          <t>M71</t>
        </is>
      </c>
      <c r="C288" s="12" t="inlineStr">
        <is>
          <t>Costa de Marfil</t>
        </is>
      </c>
      <c r="D288" s="12" t="inlineStr">
        <is>
          <t>Nueva Zelanda</t>
        </is>
      </c>
      <c r="E288" s="8" t="n"/>
      <c r="F288" s="8" t="n"/>
      <c r="G288" s="8">
        <f>IF(OR(ISBLANK(E288),ISBLANK(F288)),"",IF(E288&gt;F288,"Local",IF(E288=F288,"Empate","Visitante")))</f>
        <v/>
      </c>
      <c r="H288" s="8">
        <f>IF(VLOOKUP(B288,PARTIDOS!$A:$I,9,FALSE)="Cerrado",IF(G288=VLOOKUP(B288,PARTIDOS!$A:$I,8,FALSE),IF(AND(E288=VLOOKUP(B288,PARTIDOS!$A:$I,6,FALSE),F288=VLOOKUP(B288,PARTIDOS!$A:$I,7,FALSE)),3,1),0),"")</f>
        <v/>
      </c>
    </row>
    <row r="289" ht="20.1" customHeight="1">
      <c r="A289" s="12" t="inlineStr">
        <is>
          <t>Jugador 4</t>
        </is>
      </c>
      <c r="B289" s="8" t="inlineStr">
        <is>
          <t>M72</t>
        </is>
      </c>
      <c r="C289" s="12" t="inlineStr">
        <is>
          <t>Sudáfrica</t>
        </is>
      </c>
      <c r="D289" s="12" t="inlineStr">
        <is>
          <t>Panáma</t>
        </is>
      </c>
      <c r="E289" s="8" t="n"/>
      <c r="F289" s="8" t="n"/>
      <c r="G289" s="8">
        <f>IF(OR(ISBLANK(E289),ISBLANK(F289)),"",IF(E289&gt;F289,"Local",IF(E289=F289,"Empate","Visitante")))</f>
        <v/>
      </c>
      <c r="H289" s="8">
        <f>IF(VLOOKUP(B289,PARTIDOS!$A:$I,9,FALSE)="Cerrado",IF(G289=VLOOKUP(B289,PARTIDOS!$A:$I,8,FALSE),IF(AND(E289=VLOOKUP(B289,PARTIDOS!$A:$I,6,FALSE),F289=VLOOKUP(B289,PARTIDOS!$A:$I,7,FALSE)),3,1),0),"")</f>
        <v/>
      </c>
    </row>
    <row r="290" ht="20.1" customHeight="1">
      <c r="A290" s="12" t="inlineStr">
        <is>
          <t>Jugador 5</t>
        </is>
      </c>
      <c r="B290" s="8" t="inlineStr">
        <is>
          <t>M01</t>
        </is>
      </c>
      <c r="C290" s="12" t="inlineStr">
        <is>
          <t>México</t>
        </is>
      </c>
      <c r="D290" s="12" t="inlineStr">
        <is>
          <t>EEUU</t>
        </is>
      </c>
      <c r="E290" s="8" t="n"/>
      <c r="F290" s="8" t="n"/>
      <c r="G290" s="8">
        <f>IF(OR(ISBLANK(E290),ISBLANK(F290)),"",IF(E290&gt;F290,"Local",IF(E290=F290,"Empate","Visitante")))</f>
        <v/>
      </c>
      <c r="H290" s="8">
        <f>IF(VLOOKUP(B290,PARTIDOS!$A:$I,9,FALSE)="Cerrado",IF(G290=VLOOKUP(B290,PARTIDOS!$A:$I,8,FALSE),IF(AND(E290=VLOOKUP(B290,PARTIDOS!$A:$I,6,FALSE),F290=VLOOKUP(B290,PARTIDOS!$A:$I,7,FALSE)),3,1),0),"")</f>
        <v/>
      </c>
    </row>
    <row r="291" ht="20.1" customHeight="1">
      <c r="A291" s="12" t="inlineStr">
        <is>
          <t>Jugador 5</t>
        </is>
      </c>
      <c r="B291" s="8" t="inlineStr">
        <is>
          <t>M02</t>
        </is>
      </c>
      <c r="C291" s="12" t="inlineStr">
        <is>
          <t>Canadá</t>
        </is>
      </c>
      <c r="D291" s="12" t="inlineStr">
        <is>
          <t>Jamaica</t>
        </is>
      </c>
      <c r="E291" s="8" t="n"/>
      <c r="F291" s="8" t="n"/>
      <c r="G291" s="8">
        <f>IF(OR(ISBLANK(E291),ISBLANK(F291)),"",IF(E291&gt;F291,"Local",IF(E291=F291,"Empate","Visitante")))</f>
        <v/>
      </c>
      <c r="H291" s="8">
        <f>IF(VLOOKUP(B291,PARTIDOS!$A:$I,9,FALSE)="Cerrado",IF(G291=VLOOKUP(B291,PARTIDOS!$A:$I,8,FALSE),IF(AND(E291=VLOOKUP(B291,PARTIDOS!$A:$I,6,FALSE),F291=VLOOKUP(B291,PARTIDOS!$A:$I,7,FALSE)),3,1),0),"")</f>
        <v/>
      </c>
    </row>
    <row r="292" ht="20.1" customHeight="1">
      <c r="A292" s="12" t="inlineStr">
        <is>
          <t>Jugador 5</t>
        </is>
      </c>
      <c r="B292" s="8" t="inlineStr">
        <is>
          <t>M03</t>
        </is>
      </c>
      <c r="C292" s="12" t="inlineStr">
        <is>
          <t>México</t>
        </is>
      </c>
      <c r="D292" s="12" t="inlineStr">
        <is>
          <t>Canadá</t>
        </is>
      </c>
      <c r="E292" s="8" t="n"/>
      <c r="F292" s="8" t="n"/>
      <c r="G292" s="8">
        <f>IF(OR(ISBLANK(E292),ISBLANK(F292)),"",IF(E292&gt;F292,"Local",IF(E292=F292,"Empate","Visitante")))</f>
        <v/>
      </c>
      <c r="H292" s="8">
        <f>IF(VLOOKUP(B292,PARTIDOS!$A:$I,9,FALSE)="Cerrado",IF(G292=VLOOKUP(B292,PARTIDOS!$A:$I,8,FALSE),IF(AND(E292=VLOOKUP(B292,PARTIDOS!$A:$I,6,FALSE),F292=VLOOKUP(B292,PARTIDOS!$A:$I,7,FALSE)),3,1),0),"")</f>
        <v/>
      </c>
    </row>
    <row r="293" ht="20.1" customHeight="1">
      <c r="A293" s="12" t="inlineStr">
        <is>
          <t>Jugador 5</t>
        </is>
      </c>
      <c r="B293" s="8" t="inlineStr">
        <is>
          <t>M04</t>
        </is>
      </c>
      <c r="C293" s="12" t="inlineStr">
        <is>
          <t>EEUU</t>
        </is>
      </c>
      <c r="D293" s="12" t="inlineStr">
        <is>
          <t>Jamaica</t>
        </is>
      </c>
      <c r="E293" s="8" t="n"/>
      <c r="F293" s="8" t="n"/>
      <c r="G293" s="8">
        <f>IF(OR(ISBLANK(E293),ISBLANK(F293)),"",IF(E293&gt;F293,"Local",IF(E293=F293,"Empate","Visitante")))</f>
        <v/>
      </c>
      <c r="H293" s="8">
        <f>IF(VLOOKUP(B293,PARTIDOS!$A:$I,9,FALSE)="Cerrado",IF(G293=VLOOKUP(B293,PARTIDOS!$A:$I,8,FALSE),IF(AND(E293=VLOOKUP(B293,PARTIDOS!$A:$I,6,FALSE),F293=VLOOKUP(B293,PARTIDOS!$A:$I,7,FALSE)),3,1),0),"")</f>
        <v/>
      </c>
    </row>
    <row r="294" ht="20.1" customHeight="1">
      <c r="A294" s="12" t="inlineStr">
        <is>
          <t>Jugador 5</t>
        </is>
      </c>
      <c r="B294" s="8" t="inlineStr">
        <is>
          <t>M05</t>
        </is>
      </c>
      <c r="C294" s="12" t="inlineStr">
        <is>
          <t>México</t>
        </is>
      </c>
      <c r="D294" s="12" t="inlineStr">
        <is>
          <t>Jamaica</t>
        </is>
      </c>
      <c r="E294" s="8" t="n"/>
      <c r="F294" s="8" t="n"/>
      <c r="G294" s="8">
        <f>IF(OR(ISBLANK(E294),ISBLANK(F294)),"",IF(E294&gt;F294,"Local",IF(E294=F294,"Empate","Visitante")))</f>
        <v/>
      </c>
      <c r="H294" s="8">
        <f>IF(VLOOKUP(B294,PARTIDOS!$A:$I,9,FALSE)="Cerrado",IF(G294=VLOOKUP(B294,PARTIDOS!$A:$I,8,FALSE),IF(AND(E294=VLOOKUP(B294,PARTIDOS!$A:$I,6,FALSE),F294=VLOOKUP(B294,PARTIDOS!$A:$I,7,FALSE)),3,1),0),"")</f>
        <v/>
      </c>
    </row>
    <row r="295" ht="20.1" customHeight="1">
      <c r="A295" s="12" t="inlineStr">
        <is>
          <t>Jugador 5</t>
        </is>
      </c>
      <c r="B295" s="8" t="inlineStr">
        <is>
          <t>M06</t>
        </is>
      </c>
      <c r="C295" s="12" t="inlineStr">
        <is>
          <t>EEUU</t>
        </is>
      </c>
      <c r="D295" s="12" t="inlineStr">
        <is>
          <t>Canadá</t>
        </is>
      </c>
      <c r="E295" s="8" t="n"/>
      <c r="F295" s="8" t="n"/>
      <c r="G295" s="8">
        <f>IF(OR(ISBLANK(E295),ISBLANK(F295)),"",IF(E295&gt;F295,"Local",IF(E295=F295,"Empate","Visitante")))</f>
        <v/>
      </c>
      <c r="H295" s="8">
        <f>IF(VLOOKUP(B295,PARTIDOS!$A:$I,9,FALSE)="Cerrado",IF(G295=VLOOKUP(B295,PARTIDOS!$A:$I,8,FALSE),IF(AND(E295=VLOOKUP(B295,PARTIDOS!$A:$I,6,FALSE),F295=VLOOKUP(B295,PARTIDOS!$A:$I,7,FALSE)),3,1),0),"")</f>
        <v/>
      </c>
    </row>
    <row r="296" ht="20.1" customHeight="1">
      <c r="A296" s="12" t="inlineStr">
        <is>
          <t>Jugador 5</t>
        </is>
      </c>
      <c r="B296" s="8" t="inlineStr">
        <is>
          <t>M07</t>
        </is>
      </c>
      <c r="C296" s="12" t="inlineStr">
        <is>
          <t>Argentina</t>
        </is>
      </c>
      <c r="D296" s="12" t="inlineStr">
        <is>
          <t>Brasil</t>
        </is>
      </c>
      <c r="E296" s="8" t="n"/>
      <c r="F296" s="8" t="n"/>
      <c r="G296" s="8">
        <f>IF(OR(ISBLANK(E296),ISBLANK(F296)),"",IF(E296&gt;F296,"Local",IF(E296=F296,"Empate","Visitante")))</f>
        <v/>
      </c>
      <c r="H296" s="8">
        <f>IF(VLOOKUP(B296,PARTIDOS!$A:$I,9,FALSE)="Cerrado",IF(G296=VLOOKUP(B296,PARTIDOS!$A:$I,8,FALSE),IF(AND(E296=VLOOKUP(B296,PARTIDOS!$A:$I,6,FALSE),F296=VLOOKUP(B296,PARTIDOS!$A:$I,7,FALSE)),3,1),0),"")</f>
        <v/>
      </c>
    </row>
    <row r="297" ht="20.1" customHeight="1">
      <c r="A297" s="12" t="inlineStr">
        <is>
          <t>Jugador 5</t>
        </is>
      </c>
      <c r="B297" s="8" t="inlineStr">
        <is>
          <t>M08</t>
        </is>
      </c>
      <c r="C297" s="12" t="inlineStr">
        <is>
          <t>Colombia</t>
        </is>
      </c>
      <c r="D297" s="12" t="inlineStr">
        <is>
          <t>Uruguay</t>
        </is>
      </c>
      <c r="E297" s="8" t="n"/>
      <c r="F297" s="8" t="n"/>
      <c r="G297" s="8">
        <f>IF(OR(ISBLANK(E297),ISBLANK(F297)),"",IF(E297&gt;F297,"Local",IF(E297=F297,"Empate","Visitante")))</f>
        <v/>
      </c>
      <c r="H297" s="8">
        <f>IF(VLOOKUP(B297,PARTIDOS!$A:$I,9,FALSE)="Cerrado",IF(G297=VLOOKUP(B297,PARTIDOS!$A:$I,8,FALSE),IF(AND(E297=VLOOKUP(B297,PARTIDOS!$A:$I,6,FALSE),F297=VLOOKUP(B297,PARTIDOS!$A:$I,7,FALSE)),3,1),0),"")</f>
        <v/>
      </c>
    </row>
    <row r="298" ht="20.1" customHeight="1">
      <c r="A298" s="12" t="inlineStr">
        <is>
          <t>Jugador 5</t>
        </is>
      </c>
      <c r="B298" s="8" t="inlineStr">
        <is>
          <t>M09</t>
        </is>
      </c>
      <c r="C298" s="12" t="inlineStr">
        <is>
          <t>Argentina</t>
        </is>
      </c>
      <c r="D298" s="12" t="inlineStr">
        <is>
          <t>Colombia</t>
        </is>
      </c>
      <c r="E298" s="8" t="n"/>
      <c r="F298" s="8" t="n"/>
      <c r="G298" s="8">
        <f>IF(OR(ISBLANK(E298),ISBLANK(F298)),"",IF(E298&gt;F298,"Local",IF(E298=F298,"Empate","Visitante")))</f>
        <v/>
      </c>
      <c r="H298" s="8">
        <f>IF(VLOOKUP(B298,PARTIDOS!$A:$I,9,FALSE)="Cerrado",IF(G298=VLOOKUP(B298,PARTIDOS!$A:$I,8,FALSE),IF(AND(E298=VLOOKUP(B298,PARTIDOS!$A:$I,6,FALSE),F298=VLOOKUP(B298,PARTIDOS!$A:$I,7,FALSE)),3,1),0),"")</f>
        <v/>
      </c>
    </row>
    <row r="299" ht="20.1" customHeight="1">
      <c r="A299" s="12" t="inlineStr">
        <is>
          <t>Jugador 5</t>
        </is>
      </c>
      <c r="B299" s="8" t="inlineStr">
        <is>
          <t>M10</t>
        </is>
      </c>
      <c r="C299" s="12" t="inlineStr">
        <is>
          <t>Brasil</t>
        </is>
      </c>
      <c r="D299" s="12" t="inlineStr">
        <is>
          <t>Uruguay</t>
        </is>
      </c>
      <c r="E299" s="8" t="n"/>
      <c r="F299" s="8" t="n"/>
      <c r="G299" s="8">
        <f>IF(OR(ISBLANK(E299),ISBLANK(F299)),"",IF(E299&gt;F299,"Local",IF(E299=F299,"Empate","Visitante")))</f>
        <v/>
      </c>
      <c r="H299" s="8">
        <f>IF(VLOOKUP(B299,PARTIDOS!$A:$I,9,FALSE)="Cerrado",IF(G299=VLOOKUP(B299,PARTIDOS!$A:$I,8,FALSE),IF(AND(E299=VLOOKUP(B299,PARTIDOS!$A:$I,6,FALSE),F299=VLOOKUP(B299,PARTIDOS!$A:$I,7,FALSE)),3,1),0),"")</f>
        <v/>
      </c>
    </row>
    <row r="300" ht="20.1" customHeight="1">
      <c r="A300" s="12" t="inlineStr">
        <is>
          <t>Jugador 5</t>
        </is>
      </c>
      <c r="B300" s="8" t="inlineStr">
        <is>
          <t>M11</t>
        </is>
      </c>
      <c r="C300" s="12" t="inlineStr">
        <is>
          <t>Argentina</t>
        </is>
      </c>
      <c r="D300" s="12" t="inlineStr">
        <is>
          <t>Uruguay</t>
        </is>
      </c>
      <c r="E300" s="8" t="n"/>
      <c r="F300" s="8" t="n"/>
      <c r="G300" s="8">
        <f>IF(OR(ISBLANK(E300),ISBLANK(F300)),"",IF(E300&gt;F300,"Local",IF(E300=F300,"Empate","Visitante")))</f>
        <v/>
      </c>
      <c r="H300" s="8">
        <f>IF(VLOOKUP(B300,PARTIDOS!$A:$I,9,FALSE)="Cerrado",IF(G300=VLOOKUP(B300,PARTIDOS!$A:$I,8,FALSE),IF(AND(E300=VLOOKUP(B300,PARTIDOS!$A:$I,6,FALSE),F300=VLOOKUP(B300,PARTIDOS!$A:$I,7,FALSE)),3,1),0),"")</f>
        <v/>
      </c>
    </row>
    <row r="301" ht="20.1" customHeight="1">
      <c r="A301" s="12" t="inlineStr">
        <is>
          <t>Jugador 5</t>
        </is>
      </c>
      <c r="B301" s="8" t="inlineStr">
        <is>
          <t>M12</t>
        </is>
      </c>
      <c r="C301" s="12" t="inlineStr">
        <is>
          <t>Brasil</t>
        </is>
      </c>
      <c r="D301" s="12" t="inlineStr">
        <is>
          <t>Colombia</t>
        </is>
      </c>
      <c r="E301" s="8" t="n"/>
      <c r="F301" s="8" t="n"/>
      <c r="G301" s="8">
        <f>IF(OR(ISBLANK(E301),ISBLANK(F301)),"",IF(E301&gt;F301,"Local",IF(E301=F301,"Empate","Visitante")))</f>
        <v/>
      </c>
      <c r="H301" s="8">
        <f>IF(VLOOKUP(B301,PARTIDOS!$A:$I,9,FALSE)="Cerrado",IF(G301=VLOOKUP(B301,PARTIDOS!$A:$I,8,FALSE),IF(AND(E301=VLOOKUP(B301,PARTIDOS!$A:$I,6,FALSE),F301=VLOOKUP(B301,PARTIDOS!$A:$I,7,FALSE)),3,1),0),"")</f>
        <v/>
      </c>
    </row>
    <row r="302" ht="20.1" customHeight="1">
      <c r="A302" s="12" t="inlineStr">
        <is>
          <t>Jugador 5</t>
        </is>
      </c>
      <c r="B302" s="8" t="inlineStr">
        <is>
          <t>M13</t>
        </is>
      </c>
      <c r="C302" s="12" t="inlineStr">
        <is>
          <t>Ecuador</t>
        </is>
      </c>
      <c r="D302" s="12" t="inlineStr">
        <is>
          <t>Perú</t>
        </is>
      </c>
      <c r="E302" s="8" t="n"/>
      <c r="F302" s="8" t="n"/>
      <c r="G302" s="8">
        <f>IF(OR(ISBLANK(E302),ISBLANK(F302)),"",IF(E302&gt;F302,"Local",IF(E302=F302,"Empate","Visitante")))</f>
        <v/>
      </c>
      <c r="H302" s="8">
        <f>IF(VLOOKUP(B302,PARTIDOS!$A:$I,9,FALSE)="Cerrado",IF(G302=VLOOKUP(B302,PARTIDOS!$A:$I,8,FALSE),IF(AND(E302=VLOOKUP(B302,PARTIDOS!$A:$I,6,FALSE),F302=VLOOKUP(B302,PARTIDOS!$A:$I,7,FALSE)),3,1),0),"")</f>
        <v/>
      </c>
    </row>
    <row r="303" ht="20.1" customHeight="1">
      <c r="A303" s="12" t="inlineStr">
        <is>
          <t>Jugador 5</t>
        </is>
      </c>
      <c r="B303" s="8" t="inlineStr">
        <is>
          <t>M14</t>
        </is>
      </c>
      <c r="C303" s="12" t="inlineStr">
        <is>
          <t>Chile</t>
        </is>
      </c>
      <c r="D303" s="12" t="inlineStr">
        <is>
          <t>Paraguay</t>
        </is>
      </c>
      <c r="E303" s="8" t="n"/>
      <c r="F303" s="8" t="n"/>
      <c r="G303" s="8">
        <f>IF(OR(ISBLANK(E303),ISBLANK(F303)),"",IF(E303&gt;F303,"Local",IF(E303=F303,"Empate","Visitante")))</f>
        <v/>
      </c>
      <c r="H303" s="8">
        <f>IF(VLOOKUP(B303,PARTIDOS!$A:$I,9,FALSE)="Cerrado",IF(G303=VLOOKUP(B303,PARTIDOS!$A:$I,8,FALSE),IF(AND(E303=VLOOKUP(B303,PARTIDOS!$A:$I,6,FALSE),F303=VLOOKUP(B303,PARTIDOS!$A:$I,7,FALSE)),3,1),0),"")</f>
        <v/>
      </c>
    </row>
    <row r="304" ht="20.1" customHeight="1">
      <c r="A304" s="12" t="inlineStr">
        <is>
          <t>Jugador 5</t>
        </is>
      </c>
      <c r="B304" s="8" t="inlineStr">
        <is>
          <t>M15</t>
        </is>
      </c>
      <c r="C304" s="12" t="inlineStr">
        <is>
          <t>Ecuador</t>
        </is>
      </c>
      <c r="D304" s="12" t="inlineStr">
        <is>
          <t>Chile</t>
        </is>
      </c>
      <c r="E304" s="8" t="n"/>
      <c r="F304" s="8" t="n"/>
      <c r="G304" s="8">
        <f>IF(OR(ISBLANK(E304),ISBLANK(F304)),"",IF(E304&gt;F304,"Local",IF(E304=F304,"Empate","Visitante")))</f>
        <v/>
      </c>
      <c r="H304" s="8">
        <f>IF(VLOOKUP(B304,PARTIDOS!$A:$I,9,FALSE)="Cerrado",IF(G304=VLOOKUP(B304,PARTIDOS!$A:$I,8,FALSE),IF(AND(E304=VLOOKUP(B304,PARTIDOS!$A:$I,6,FALSE),F304=VLOOKUP(B304,PARTIDOS!$A:$I,7,FALSE)),3,1),0),"")</f>
        <v/>
      </c>
    </row>
    <row r="305" ht="20.1" customHeight="1">
      <c r="A305" s="12" t="inlineStr">
        <is>
          <t>Jugador 5</t>
        </is>
      </c>
      <c r="B305" s="8" t="inlineStr">
        <is>
          <t>M16</t>
        </is>
      </c>
      <c r="C305" s="12" t="inlineStr">
        <is>
          <t>Perú</t>
        </is>
      </c>
      <c r="D305" s="12" t="inlineStr">
        <is>
          <t>Paraguay</t>
        </is>
      </c>
      <c r="E305" s="8" t="n"/>
      <c r="F305" s="8" t="n"/>
      <c r="G305" s="8">
        <f>IF(OR(ISBLANK(E305),ISBLANK(F305)),"",IF(E305&gt;F305,"Local",IF(E305=F305,"Empate","Visitante")))</f>
        <v/>
      </c>
      <c r="H305" s="8">
        <f>IF(VLOOKUP(B305,PARTIDOS!$A:$I,9,FALSE)="Cerrado",IF(G305=VLOOKUP(B305,PARTIDOS!$A:$I,8,FALSE),IF(AND(E305=VLOOKUP(B305,PARTIDOS!$A:$I,6,FALSE),F305=VLOOKUP(B305,PARTIDOS!$A:$I,7,FALSE)),3,1),0),"")</f>
        <v/>
      </c>
    </row>
    <row r="306" ht="20.1" customHeight="1">
      <c r="A306" s="12" t="inlineStr">
        <is>
          <t>Jugador 5</t>
        </is>
      </c>
      <c r="B306" s="8" t="inlineStr">
        <is>
          <t>M17</t>
        </is>
      </c>
      <c r="C306" s="12" t="inlineStr">
        <is>
          <t>Ecuador</t>
        </is>
      </c>
      <c r="D306" s="12" t="inlineStr">
        <is>
          <t>Paraguay</t>
        </is>
      </c>
      <c r="E306" s="8" t="n"/>
      <c r="F306" s="8" t="n"/>
      <c r="G306" s="8">
        <f>IF(OR(ISBLANK(E306),ISBLANK(F306)),"",IF(E306&gt;F306,"Local",IF(E306=F306,"Empate","Visitante")))</f>
        <v/>
      </c>
      <c r="H306" s="8">
        <f>IF(VLOOKUP(B306,PARTIDOS!$A:$I,9,FALSE)="Cerrado",IF(G306=VLOOKUP(B306,PARTIDOS!$A:$I,8,FALSE),IF(AND(E306=VLOOKUP(B306,PARTIDOS!$A:$I,6,FALSE),F306=VLOOKUP(B306,PARTIDOS!$A:$I,7,FALSE)),3,1),0),"")</f>
        <v/>
      </c>
    </row>
    <row r="307" ht="20.1" customHeight="1">
      <c r="A307" s="12" t="inlineStr">
        <is>
          <t>Jugador 5</t>
        </is>
      </c>
      <c r="B307" s="8" t="inlineStr">
        <is>
          <t>M18</t>
        </is>
      </c>
      <c r="C307" s="12" t="inlineStr">
        <is>
          <t>Perú</t>
        </is>
      </c>
      <c r="D307" s="12" t="inlineStr">
        <is>
          <t>Chile</t>
        </is>
      </c>
      <c r="E307" s="8" t="n"/>
      <c r="F307" s="8" t="n"/>
      <c r="G307" s="8">
        <f>IF(OR(ISBLANK(E307),ISBLANK(F307)),"",IF(E307&gt;F307,"Local",IF(E307=F307,"Empate","Visitante")))</f>
        <v/>
      </c>
      <c r="H307" s="8">
        <f>IF(VLOOKUP(B307,PARTIDOS!$A:$I,9,FALSE)="Cerrado",IF(G307=VLOOKUP(B307,PARTIDOS!$A:$I,8,FALSE),IF(AND(E307=VLOOKUP(B307,PARTIDOS!$A:$I,6,FALSE),F307=VLOOKUP(B307,PARTIDOS!$A:$I,7,FALSE)),3,1),0),"")</f>
        <v/>
      </c>
    </row>
    <row r="308" ht="20.1" customHeight="1">
      <c r="A308" s="12" t="inlineStr">
        <is>
          <t>Jugador 5</t>
        </is>
      </c>
      <c r="B308" s="8" t="inlineStr">
        <is>
          <t>M19</t>
        </is>
      </c>
      <c r="C308" s="12" t="inlineStr">
        <is>
          <t>España</t>
        </is>
      </c>
      <c r="D308" s="12" t="inlineStr">
        <is>
          <t>Francia</t>
        </is>
      </c>
      <c r="E308" s="8" t="n"/>
      <c r="F308" s="8" t="n"/>
      <c r="G308" s="8">
        <f>IF(OR(ISBLANK(E308),ISBLANK(F308)),"",IF(E308&gt;F308,"Local",IF(E308=F308,"Empate","Visitante")))</f>
        <v/>
      </c>
      <c r="H308" s="8">
        <f>IF(VLOOKUP(B308,PARTIDOS!$A:$I,9,FALSE)="Cerrado",IF(G308=VLOOKUP(B308,PARTIDOS!$A:$I,8,FALSE),IF(AND(E308=VLOOKUP(B308,PARTIDOS!$A:$I,6,FALSE),F308=VLOOKUP(B308,PARTIDOS!$A:$I,7,FALSE)),3,1),0),"")</f>
        <v/>
      </c>
    </row>
    <row r="309" ht="20.1" customHeight="1">
      <c r="A309" s="12" t="inlineStr">
        <is>
          <t>Jugador 5</t>
        </is>
      </c>
      <c r="B309" s="8" t="inlineStr">
        <is>
          <t>M20</t>
        </is>
      </c>
      <c r="C309" s="12" t="inlineStr">
        <is>
          <t>Inglaterra</t>
        </is>
      </c>
      <c r="D309" s="12" t="inlineStr">
        <is>
          <t>Alemania</t>
        </is>
      </c>
      <c r="E309" s="8" t="n"/>
      <c r="F309" s="8" t="n"/>
      <c r="G309" s="8">
        <f>IF(OR(ISBLANK(E309),ISBLANK(F309)),"",IF(E309&gt;F309,"Local",IF(E309=F309,"Empate","Visitante")))</f>
        <v/>
      </c>
      <c r="H309" s="8">
        <f>IF(VLOOKUP(B309,PARTIDOS!$A:$I,9,FALSE)="Cerrado",IF(G309=VLOOKUP(B309,PARTIDOS!$A:$I,8,FALSE),IF(AND(E309=VLOOKUP(B309,PARTIDOS!$A:$I,6,FALSE),F309=VLOOKUP(B309,PARTIDOS!$A:$I,7,FALSE)),3,1),0),"")</f>
        <v/>
      </c>
    </row>
    <row r="310" ht="20.1" customHeight="1">
      <c r="A310" s="12" t="inlineStr">
        <is>
          <t>Jugador 5</t>
        </is>
      </c>
      <c r="B310" s="8" t="inlineStr">
        <is>
          <t>M21</t>
        </is>
      </c>
      <c r="C310" s="12" t="inlineStr">
        <is>
          <t>España</t>
        </is>
      </c>
      <c r="D310" s="12" t="inlineStr">
        <is>
          <t>Inglaterra</t>
        </is>
      </c>
      <c r="E310" s="8" t="n"/>
      <c r="F310" s="8" t="n"/>
      <c r="G310" s="8">
        <f>IF(OR(ISBLANK(E310),ISBLANK(F310)),"",IF(E310&gt;F310,"Local",IF(E310=F310,"Empate","Visitante")))</f>
        <v/>
      </c>
      <c r="H310" s="8">
        <f>IF(VLOOKUP(B310,PARTIDOS!$A:$I,9,FALSE)="Cerrado",IF(G310=VLOOKUP(B310,PARTIDOS!$A:$I,8,FALSE),IF(AND(E310=VLOOKUP(B310,PARTIDOS!$A:$I,6,FALSE),F310=VLOOKUP(B310,PARTIDOS!$A:$I,7,FALSE)),3,1),0),"")</f>
        <v/>
      </c>
    </row>
    <row r="311" ht="20.1" customHeight="1">
      <c r="A311" s="12" t="inlineStr">
        <is>
          <t>Jugador 5</t>
        </is>
      </c>
      <c r="B311" s="8" t="inlineStr">
        <is>
          <t>M22</t>
        </is>
      </c>
      <c r="C311" s="12" t="inlineStr">
        <is>
          <t>Francia</t>
        </is>
      </c>
      <c r="D311" s="12" t="inlineStr">
        <is>
          <t>Alemania</t>
        </is>
      </c>
      <c r="E311" s="8" t="n"/>
      <c r="F311" s="8" t="n"/>
      <c r="G311" s="8">
        <f>IF(OR(ISBLANK(E311),ISBLANK(F311)),"",IF(E311&gt;F311,"Local",IF(E311=F311,"Empate","Visitante")))</f>
        <v/>
      </c>
      <c r="H311" s="8">
        <f>IF(VLOOKUP(B311,PARTIDOS!$A:$I,9,FALSE)="Cerrado",IF(G311=VLOOKUP(B311,PARTIDOS!$A:$I,8,FALSE),IF(AND(E311=VLOOKUP(B311,PARTIDOS!$A:$I,6,FALSE),F311=VLOOKUP(B311,PARTIDOS!$A:$I,7,FALSE)),3,1),0),"")</f>
        <v/>
      </c>
    </row>
    <row r="312" ht="20.1" customHeight="1">
      <c r="A312" s="12" t="inlineStr">
        <is>
          <t>Jugador 5</t>
        </is>
      </c>
      <c r="B312" s="8" t="inlineStr">
        <is>
          <t>M23</t>
        </is>
      </c>
      <c r="C312" s="12" t="inlineStr">
        <is>
          <t>España</t>
        </is>
      </c>
      <c r="D312" s="12" t="inlineStr">
        <is>
          <t>Alemania</t>
        </is>
      </c>
      <c r="E312" s="8" t="n"/>
      <c r="F312" s="8" t="n"/>
      <c r="G312" s="8">
        <f>IF(OR(ISBLANK(E312),ISBLANK(F312)),"",IF(E312&gt;F312,"Local",IF(E312=F312,"Empate","Visitante")))</f>
        <v/>
      </c>
      <c r="H312" s="8">
        <f>IF(VLOOKUP(B312,PARTIDOS!$A:$I,9,FALSE)="Cerrado",IF(G312=VLOOKUP(B312,PARTIDOS!$A:$I,8,FALSE),IF(AND(E312=VLOOKUP(B312,PARTIDOS!$A:$I,6,FALSE),F312=VLOOKUP(B312,PARTIDOS!$A:$I,7,FALSE)),3,1),0),"")</f>
        <v/>
      </c>
    </row>
    <row r="313" ht="20.1" customHeight="1">
      <c r="A313" s="12" t="inlineStr">
        <is>
          <t>Jugador 5</t>
        </is>
      </c>
      <c r="B313" s="8" t="inlineStr">
        <is>
          <t>M24</t>
        </is>
      </c>
      <c r="C313" s="12" t="inlineStr">
        <is>
          <t>Francia</t>
        </is>
      </c>
      <c r="D313" s="12" t="inlineStr">
        <is>
          <t>Inglaterra</t>
        </is>
      </c>
      <c r="E313" s="8" t="n"/>
      <c r="F313" s="8" t="n"/>
      <c r="G313" s="8">
        <f>IF(OR(ISBLANK(E313),ISBLANK(F313)),"",IF(E313&gt;F313,"Local",IF(E313=F313,"Empate","Visitante")))</f>
        <v/>
      </c>
      <c r="H313" s="8">
        <f>IF(VLOOKUP(B313,PARTIDOS!$A:$I,9,FALSE)="Cerrado",IF(G313=VLOOKUP(B313,PARTIDOS!$A:$I,8,FALSE),IF(AND(E313=VLOOKUP(B313,PARTIDOS!$A:$I,6,FALSE),F313=VLOOKUP(B313,PARTIDOS!$A:$I,7,FALSE)),3,1),0),"")</f>
        <v/>
      </c>
    </row>
    <row r="314" ht="20.1" customHeight="1">
      <c r="A314" s="12" t="inlineStr">
        <is>
          <t>Jugador 5</t>
        </is>
      </c>
      <c r="B314" s="8" t="inlineStr">
        <is>
          <t>M25</t>
        </is>
      </c>
      <c r="C314" s="12" t="inlineStr">
        <is>
          <t>Portugal</t>
        </is>
      </c>
      <c r="D314" s="12" t="inlineStr">
        <is>
          <t>Bélgica</t>
        </is>
      </c>
      <c r="E314" s="8" t="n"/>
      <c r="F314" s="8" t="n"/>
      <c r="G314" s="8">
        <f>IF(OR(ISBLANK(E314),ISBLANK(F314)),"",IF(E314&gt;F314,"Local",IF(E314=F314,"Empate","Visitante")))</f>
        <v/>
      </c>
      <c r="H314" s="8">
        <f>IF(VLOOKUP(B314,PARTIDOS!$A:$I,9,FALSE)="Cerrado",IF(G314=VLOOKUP(B314,PARTIDOS!$A:$I,8,FALSE),IF(AND(E314=VLOOKUP(B314,PARTIDOS!$A:$I,6,FALSE),F314=VLOOKUP(B314,PARTIDOS!$A:$I,7,FALSE)),3,1),0),"")</f>
        <v/>
      </c>
    </row>
    <row r="315" ht="20.1" customHeight="1">
      <c r="A315" s="12" t="inlineStr">
        <is>
          <t>Jugador 5</t>
        </is>
      </c>
      <c r="B315" s="8" t="inlineStr">
        <is>
          <t>M26</t>
        </is>
      </c>
      <c r="C315" s="12" t="inlineStr">
        <is>
          <t>Países Bajos</t>
        </is>
      </c>
      <c r="D315" s="12" t="inlineStr">
        <is>
          <t>Italia</t>
        </is>
      </c>
      <c r="E315" s="8" t="n"/>
      <c r="F315" s="8" t="n"/>
      <c r="G315" s="8">
        <f>IF(OR(ISBLANK(E315),ISBLANK(F315)),"",IF(E315&gt;F315,"Local",IF(E315=F315,"Empate","Visitante")))</f>
        <v/>
      </c>
      <c r="H315" s="8">
        <f>IF(VLOOKUP(B315,PARTIDOS!$A:$I,9,FALSE)="Cerrado",IF(G315=VLOOKUP(B315,PARTIDOS!$A:$I,8,FALSE),IF(AND(E315=VLOOKUP(B315,PARTIDOS!$A:$I,6,FALSE),F315=VLOOKUP(B315,PARTIDOS!$A:$I,7,FALSE)),3,1),0),"")</f>
        <v/>
      </c>
    </row>
    <row r="316" ht="20.1" customHeight="1">
      <c r="A316" s="12" t="inlineStr">
        <is>
          <t>Jugador 5</t>
        </is>
      </c>
      <c r="B316" s="8" t="inlineStr">
        <is>
          <t>M27</t>
        </is>
      </c>
      <c r="C316" s="12" t="inlineStr">
        <is>
          <t>Portugal</t>
        </is>
      </c>
      <c r="D316" s="12" t="inlineStr">
        <is>
          <t>Países Bajos</t>
        </is>
      </c>
      <c r="E316" s="8" t="n"/>
      <c r="F316" s="8" t="n"/>
      <c r="G316" s="8">
        <f>IF(OR(ISBLANK(E316),ISBLANK(F316)),"",IF(E316&gt;F316,"Local",IF(E316=F316,"Empate","Visitante")))</f>
        <v/>
      </c>
      <c r="H316" s="8">
        <f>IF(VLOOKUP(B316,PARTIDOS!$A:$I,9,FALSE)="Cerrado",IF(G316=VLOOKUP(B316,PARTIDOS!$A:$I,8,FALSE),IF(AND(E316=VLOOKUP(B316,PARTIDOS!$A:$I,6,FALSE),F316=VLOOKUP(B316,PARTIDOS!$A:$I,7,FALSE)),3,1),0),"")</f>
        <v/>
      </c>
    </row>
    <row r="317" ht="20.1" customHeight="1">
      <c r="A317" s="12" t="inlineStr">
        <is>
          <t>Jugador 5</t>
        </is>
      </c>
      <c r="B317" s="8" t="inlineStr">
        <is>
          <t>M28</t>
        </is>
      </c>
      <c r="C317" s="12" t="inlineStr">
        <is>
          <t>Bélgica</t>
        </is>
      </c>
      <c r="D317" s="12" t="inlineStr">
        <is>
          <t>Italia</t>
        </is>
      </c>
      <c r="E317" s="8" t="n"/>
      <c r="F317" s="8" t="n"/>
      <c r="G317" s="8">
        <f>IF(OR(ISBLANK(E317),ISBLANK(F317)),"",IF(E317&gt;F317,"Local",IF(E317=F317,"Empate","Visitante")))</f>
        <v/>
      </c>
      <c r="H317" s="8">
        <f>IF(VLOOKUP(B317,PARTIDOS!$A:$I,9,FALSE)="Cerrado",IF(G317=VLOOKUP(B317,PARTIDOS!$A:$I,8,FALSE),IF(AND(E317=VLOOKUP(B317,PARTIDOS!$A:$I,6,FALSE),F317=VLOOKUP(B317,PARTIDOS!$A:$I,7,FALSE)),3,1),0),"")</f>
        <v/>
      </c>
    </row>
    <row r="318" ht="20.1" customHeight="1">
      <c r="A318" s="12" t="inlineStr">
        <is>
          <t>Jugador 5</t>
        </is>
      </c>
      <c r="B318" s="8" t="inlineStr">
        <is>
          <t>M29</t>
        </is>
      </c>
      <c r="C318" s="12" t="inlineStr">
        <is>
          <t>Portugal</t>
        </is>
      </c>
      <c r="D318" s="12" t="inlineStr">
        <is>
          <t>Italia</t>
        </is>
      </c>
      <c r="E318" s="8" t="n"/>
      <c r="F318" s="8" t="n"/>
      <c r="G318" s="8">
        <f>IF(OR(ISBLANK(E318),ISBLANK(F318)),"",IF(E318&gt;F318,"Local",IF(E318=F318,"Empate","Visitante")))</f>
        <v/>
      </c>
      <c r="H318" s="8">
        <f>IF(VLOOKUP(B318,PARTIDOS!$A:$I,9,FALSE)="Cerrado",IF(G318=VLOOKUP(B318,PARTIDOS!$A:$I,8,FALSE),IF(AND(E318=VLOOKUP(B318,PARTIDOS!$A:$I,6,FALSE),F318=VLOOKUP(B318,PARTIDOS!$A:$I,7,FALSE)),3,1),0),"")</f>
        <v/>
      </c>
    </row>
    <row r="319" ht="20.1" customHeight="1">
      <c r="A319" s="12" t="inlineStr">
        <is>
          <t>Jugador 5</t>
        </is>
      </c>
      <c r="B319" s="8" t="inlineStr">
        <is>
          <t>M30</t>
        </is>
      </c>
      <c r="C319" s="12" t="inlineStr">
        <is>
          <t>Bélgica</t>
        </is>
      </c>
      <c r="D319" s="12" t="inlineStr">
        <is>
          <t>Países Bajos</t>
        </is>
      </c>
      <c r="E319" s="8" t="n"/>
      <c r="F319" s="8" t="n"/>
      <c r="G319" s="8">
        <f>IF(OR(ISBLANK(E319),ISBLANK(F319)),"",IF(E319&gt;F319,"Local",IF(E319=F319,"Empate","Visitante")))</f>
        <v/>
      </c>
      <c r="H319" s="8">
        <f>IF(VLOOKUP(B319,PARTIDOS!$A:$I,9,FALSE)="Cerrado",IF(G319=VLOOKUP(B319,PARTIDOS!$A:$I,8,FALSE),IF(AND(E319=VLOOKUP(B319,PARTIDOS!$A:$I,6,FALSE),F319=VLOOKUP(B319,PARTIDOS!$A:$I,7,FALSE)),3,1),0),"")</f>
        <v/>
      </c>
    </row>
    <row r="320" ht="20.1" customHeight="1">
      <c r="A320" s="12" t="inlineStr">
        <is>
          <t>Jugador 5</t>
        </is>
      </c>
      <c r="B320" s="8" t="inlineStr">
        <is>
          <t>M31</t>
        </is>
      </c>
      <c r="C320" s="12" t="inlineStr">
        <is>
          <t>Croacia</t>
        </is>
      </c>
      <c r="D320" s="12" t="inlineStr">
        <is>
          <t>Suiza</t>
        </is>
      </c>
      <c r="E320" s="8" t="n"/>
      <c r="F320" s="8" t="n"/>
      <c r="G320" s="8">
        <f>IF(OR(ISBLANK(E320),ISBLANK(F320)),"",IF(E320&gt;F320,"Local",IF(E320=F320,"Empate","Visitante")))</f>
        <v/>
      </c>
      <c r="H320" s="8">
        <f>IF(VLOOKUP(B320,PARTIDOS!$A:$I,9,FALSE)="Cerrado",IF(G320=VLOOKUP(B320,PARTIDOS!$A:$I,8,FALSE),IF(AND(E320=VLOOKUP(B320,PARTIDOS!$A:$I,6,FALSE),F320=VLOOKUP(B320,PARTIDOS!$A:$I,7,FALSE)),3,1),0),"")</f>
        <v/>
      </c>
    </row>
    <row r="321" ht="20.1" customHeight="1">
      <c r="A321" s="12" t="inlineStr">
        <is>
          <t>Jugador 5</t>
        </is>
      </c>
      <c r="B321" s="8" t="inlineStr">
        <is>
          <t>M32</t>
        </is>
      </c>
      <c r="C321" s="12" t="inlineStr">
        <is>
          <t>Dinamarca</t>
        </is>
      </c>
      <c r="D321" s="12" t="inlineStr">
        <is>
          <t>Serbia</t>
        </is>
      </c>
      <c r="E321" s="8" t="n"/>
      <c r="F321" s="8" t="n"/>
      <c r="G321" s="8">
        <f>IF(OR(ISBLANK(E321),ISBLANK(F321)),"",IF(E321&gt;F321,"Local",IF(E321=F321,"Empate","Visitante")))</f>
        <v/>
      </c>
      <c r="H321" s="8">
        <f>IF(VLOOKUP(B321,PARTIDOS!$A:$I,9,FALSE)="Cerrado",IF(G321=VLOOKUP(B321,PARTIDOS!$A:$I,8,FALSE),IF(AND(E321=VLOOKUP(B321,PARTIDOS!$A:$I,6,FALSE),F321=VLOOKUP(B321,PARTIDOS!$A:$I,7,FALSE)),3,1),0),"")</f>
        <v/>
      </c>
    </row>
    <row r="322" ht="20.1" customHeight="1">
      <c r="A322" s="12" t="inlineStr">
        <is>
          <t>Jugador 5</t>
        </is>
      </c>
      <c r="B322" s="8" t="inlineStr">
        <is>
          <t>M33</t>
        </is>
      </c>
      <c r="C322" s="12" t="inlineStr">
        <is>
          <t>Croacia</t>
        </is>
      </c>
      <c r="D322" s="12" t="inlineStr">
        <is>
          <t>Dinamarca</t>
        </is>
      </c>
      <c r="E322" s="8" t="n"/>
      <c r="F322" s="8" t="n"/>
      <c r="G322" s="8">
        <f>IF(OR(ISBLANK(E322),ISBLANK(F322)),"",IF(E322&gt;F322,"Local",IF(E322=F322,"Empate","Visitante")))</f>
        <v/>
      </c>
      <c r="H322" s="8">
        <f>IF(VLOOKUP(B322,PARTIDOS!$A:$I,9,FALSE)="Cerrado",IF(G322=VLOOKUP(B322,PARTIDOS!$A:$I,8,FALSE),IF(AND(E322=VLOOKUP(B322,PARTIDOS!$A:$I,6,FALSE),F322=VLOOKUP(B322,PARTIDOS!$A:$I,7,FALSE)),3,1),0),"")</f>
        <v/>
      </c>
    </row>
    <row r="323" ht="20.1" customHeight="1">
      <c r="A323" s="12" t="inlineStr">
        <is>
          <t>Jugador 5</t>
        </is>
      </c>
      <c r="B323" s="8" t="inlineStr">
        <is>
          <t>M34</t>
        </is>
      </c>
      <c r="C323" s="12" t="inlineStr">
        <is>
          <t>Suiza</t>
        </is>
      </c>
      <c r="D323" s="12" t="inlineStr">
        <is>
          <t>Serbia</t>
        </is>
      </c>
      <c r="E323" s="8" t="n"/>
      <c r="F323" s="8" t="n"/>
      <c r="G323" s="8">
        <f>IF(OR(ISBLANK(E323),ISBLANK(F323)),"",IF(E323&gt;F323,"Local",IF(E323=F323,"Empate","Visitante")))</f>
        <v/>
      </c>
      <c r="H323" s="8">
        <f>IF(VLOOKUP(B323,PARTIDOS!$A:$I,9,FALSE)="Cerrado",IF(G323=VLOOKUP(B323,PARTIDOS!$A:$I,8,FALSE),IF(AND(E323=VLOOKUP(B323,PARTIDOS!$A:$I,6,FALSE),F323=VLOOKUP(B323,PARTIDOS!$A:$I,7,FALSE)),3,1),0),"")</f>
        <v/>
      </c>
    </row>
    <row r="324" ht="20.1" customHeight="1">
      <c r="A324" s="12" t="inlineStr">
        <is>
          <t>Jugador 5</t>
        </is>
      </c>
      <c r="B324" s="8" t="inlineStr">
        <is>
          <t>M35</t>
        </is>
      </c>
      <c r="C324" s="12" t="inlineStr">
        <is>
          <t>Croacia</t>
        </is>
      </c>
      <c r="D324" s="12" t="inlineStr">
        <is>
          <t>Serbia</t>
        </is>
      </c>
      <c r="E324" s="8" t="n"/>
      <c r="F324" s="8" t="n"/>
      <c r="G324" s="8">
        <f>IF(OR(ISBLANK(E324),ISBLANK(F324)),"",IF(E324&gt;F324,"Local",IF(E324=F324,"Empate","Visitante")))</f>
        <v/>
      </c>
      <c r="H324" s="8">
        <f>IF(VLOOKUP(B324,PARTIDOS!$A:$I,9,FALSE)="Cerrado",IF(G324=VLOOKUP(B324,PARTIDOS!$A:$I,8,FALSE),IF(AND(E324=VLOOKUP(B324,PARTIDOS!$A:$I,6,FALSE),F324=VLOOKUP(B324,PARTIDOS!$A:$I,7,FALSE)),3,1),0),"")</f>
        <v/>
      </c>
    </row>
    <row r="325" ht="20.1" customHeight="1">
      <c r="A325" s="12" t="inlineStr">
        <is>
          <t>Jugador 5</t>
        </is>
      </c>
      <c r="B325" s="8" t="inlineStr">
        <is>
          <t>M36</t>
        </is>
      </c>
      <c r="C325" s="12" t="inlineStr">
        <is>
          <t>Suiza</t>
        </is>
      </c>
      <c r="D325" s="12" t="inlineStr">
        <is>
          <t>Dinamarca</t>
        </is>
      </c>
      <c r="E325" s="8" t="n"/>
      <c r="F325" s="8" t="n"/>
      <c r="G325" s="8">
        <f>IF(OR(ISBLANK(E325),ISBLANK(F325)),"",IF(E325&gt;F325,"Local",IF(E325=F325,"Empate","Visitante")))</f>
        <v/>
      </c>
      <c r="H325" s="8">
        <f>IF(VLOOKUP(B325,PARTIDOS!$A:$I,9,FALSE)="Cerrado",IF(G325=VLOOKUP(B325,PARTIDOS!$A:$I,8,FALSE),IF(AND(E325=VLOOKUP(B325,PARTIDOS!$A:$I,6,FALSE),F325=VLOOKUP(B325,PARTIDOS!$A:$I,7,FALSE)),3,1),0),"")</f>
        <v/>
      </c>
    </row>
    <row r="326" ht="20.1" customHeight="1">
      <c r="A326" s="12" t="inlineStr">
        <is>
          <t>Jugador 5</t>
        </is>
      </c>
      <c r="B326" s="8" t="inlineStr">
        <is>
          <t>M37</t>
        </is>
      </c>
      <c r="C326" s="12" t="inlineStr">
        <is>
          <t>Polonia</t>
        </is>
      </c>
      <c r="D326" s="12" t="inlineStr">
        <is>
          <t>Ucrania</t>
        </is>
      </c>
      <c r="E326" s="8" t="n"/>
      <c r="F326" s="8" t="n"/>
      <c r="G326" s="8">
        <f>IF(OR(ISBLANK(E326),ISBLANK(F326)),"",IF(E326&gt;F326,"Local",IF(E326=F326,"Empate","Visitante")))</f>
        <v/>
      </c>
      <c r="H326" s="8">
        <f>IF(VLOOKUP(B326,PARTIDOS!$A:$I,9,FALSE)="Cerrado",IF(G326=VLOOKUP(B326,PARTIDOS!$A:$I,8,FALSE),IF(AND(E326=VLOOKUP(B326,PARTIDOS!$A:$I,6,FALSE),F326=VLOOKUP(B326,PARTIDOS!$A:$I,7,FALSE)),3,1),0),"")</f>
        <v/>
      </c>
    </row>
    <row r="327" ht="20.1" customHeight="1">
      <c r="A327" s="12" t="inlineStr">
        <is>
          <t>Jugador 5</t>
        </is>
      </c>
      <c r="B327" s="8" t="inlineStr">
        <is>
          <t>M38</t>
        </is>
      </c>
      <c r="C327" s="12" t="inlineStr">
        <is>
          <t>Suecia</t>
        </is>
      </c>
      <c r="D327" s="12" t="inlineStr">
        <is>
          <t>Gales</t>
        </is>
      </c>
      <c r="E327" s="8" t="n"/>
      <c r="F327" s="8" t="n"/>
      <c r="G327" s="8">
        <f>IF(OR(ISBLANK(E327),ISBLANK(F327)),"",IF(E327&gt;F327,"Local",IF(E327=F327,"Empate","Visitante")))</f>
        <v/>
      </c>
      <c r="H327" s="8">
        <f>IF(VLOOKUP(B327,PARTIDOS!$A:$I,9,FALSE)="Cerrado",IF(G327=VLOOKUP(B327,PARTIDOS!$A:$I,8,FALSE),IF(AND(E327=VLOOKUP(B327,PARTIDOS!$A:$I,6,FALSE),F327=VLOOKUP(B327,PARTIDOS!$A:$I,7,FALSE)),3,1),0),"")</f>
        <v/>
      </c>
    </row>
    <row r="328" ht="20.1" customHeight="1">
      <c r="A328" s="12" t="inlineStr">
        <is>
          <t>Jugador 5</t>
        </is>
      </c>
      <c r="B328" s="8" t="inlineStr">
        <is>
          <t>M39</t>
        </is>
      </c>
      <c r="C328" s="12" t="inlineStr">
        <is>
          <t>Polonia</t>
        </is>
      </c>
      <c r="D328" s="12" t="inlineStr">
        <is>
          <t>Suecia</t>
        </is>
      </c>
      <c r="E328" s="8" t="n"/>
      <c r="F328" s="8" t="n"/>
      <c r="G328" s="8">
        <f>IF(OR(ISBLANK(E328),ISBLANK(F328)),"",IF(E328&gt;F328,"Local",IF(E328=F328,"Empate","Visitante")))</f>
        <v/>
      </c>
      <c r="H328" s="8">
        <f>IF(VLOOKUP(B328,PARTIDOS!$A:$I,9,FALSE)="Cerrado",IF(G328=VLOOKUP(B328,PARTIDOS!$A:$I,8,FALSE),IF(AND(E328=VLOOKUP(B328,PARTIDOS!$A:$I,6,FALSE),F328=VLOOKUP(B328,PARTIDOS!$A:$I,7,FALSE)),3,1),0),"")</f>
        <v/>
      </c>
    </row>
    <row r="329" ht="20.1" customHeight="1">
      <c r="A329" s="12" t="inlineStr">
        <is>
          <t>Jugador 5</t>
        </is>
      </c>
      <c r="B329" s="8" t="inlineStr">
        <is>
          <t>M40</t>
        </is>
      </c>
      <c r="C329" s="12" t="inlineStr">
        <is>
          <t>Ucrania</t>
        </is>
      </c>
      <c r="D329" s="12" t="inlineStr">
        <is>
          <t>Gales</t>
        </is>
      </c>
      <c r="E329" s="8" t="n"/>
      <c r="F329" s="8" t="n"/>
      <c r="G329" s="8">
        <f>IF(OR(ISBLANK(E329),ISBLANK(F329)),"",IF(E329&gt;F329,"Local",IF(E329=F329,"Empate","Visitante")))</f>
        <v/>
      </c>
      <c r="H329" s="8">
        <f>IF(VLOOKUP(B329,PARTIDOS!$A:$I,9,FALSE)="Cerrado",IF(G329=VLOOKUP(B329,PARTIDOS!$A:$I,8,FALSE),IF(AND(E329=VLOOKUP(B329,PARTIDOS!$A:$I,6,FALSE),F329=VLOOKUP(B329,PARTIDOS!$A:$I,7,FALSE)),3,1),0),"")</f>
        <v/>
      </c>
    </row>
    <row r="330" ht="20.1" customHeight="1">
      <c r="A330" s="12" t="inlineStr">
        <is>
          <t>Jugador 5</t>
        </is>
      </c>
      <c r="B330" s="8" t="inlineStr">
        <is>
          <t>M41</t>
        </is>
      </c>
      <c r="C330" s="12" t="inlineStr">
        <is>
          <t>Polonia</t>
        </is>
      </c>
      <c r="D330" s="12" t="inlineStr">
        <is>
          <t>Gales</t>
        </is>
      </c>
      <c r="E330" s="8" t="n"/>
      <c r="F330" s="8" t="n"/>
      <c r="G330" s="8">
        <f>IF(OR(ISBLANK(E330),ISBLANK(F330)),"",IF(E330&gt;F330,"Local",IF(E330=F330,"Empate","Visitante")))</f>
        <v/>
      </c>
      <c r="H330" s="8">
        <f>IF(VLOOKUP(B330,PARTIDOS!$A:$I,9,FALSE)="Cerrado",IF(G330=VLOOKUP(B330,PARTIDOS!$A:$I,8,FALSE),IF(AND(E330=VLOOKUP(B330,PARTIDOS!$A:$I,6,FALSE),F330=VLOOKUP(B330,PARTIDOS!$A:$I,7,FALSE)),3,1),0),"")</f>
        <v/>
      </c>
    </row>
    <row r="331" ht="20.1" customHeight="1">
      <c r="A331" s="12" t="inlineStr">
        <is>
          <t>Jugador 5</t>
        </is>
      </c>
      <c r="B331" s="8" t="inlineStr">
        <is>
          <t>M42</t>
        </is>
      </c>
      <c r="C331" s="12" t="inlineStr">
        <is>
          <t>Ucrania</t>
        </is>
      </c>
      <c r="D331" s="12" t="inlineStr">
        <is>
          <t>Suecia</t>
        </is>
      </c>
      <c r="E331" s="8" t="n"/>
      <c r="F331" s="8" t="n"/>
      <c r="G331" s="8">
        <f>IF(OR(ISBLANK(E331),ISBLANK(F331)),"",IF(E331&gt;F331,"Local",IF(E331=F331,"Empate","Visitante")))</f>
        <v/>
      </c>
      <c r="H331" s="8">
        <f>IF(VLOOKUP(B331,PARTIDOS!$A:$I,9,FALSE)="Cerrado",IF(G331=VLOOKUP(B331,PARTIDOS!$A:$I,8,FALSE),IF(AND(E331=VLOOKUP(B331,PARTIDOS!$A:$I,6,FALSE),F331=VLOOKUP(B331,PARTIDOS!$A:$I,7,FALSE)),3,1),0),"")</f>
        <v/>
      </c>
    </row>
    <row r="332" ht="20.1" customHeight="1">
      <c r="A332" s="12" t="inlineStr">
        <is>
          <t>Jugador 5</t>
        </is>
      </c>
      <c r="B332" s="8" t="inlineStr">
        <is>
          <t>M43</t>
        </is>
      </c>
      <c r="C332" s="12" t="inlineStr">
        <is>
          <t>Austria</t>
        </is>
      </c>
      <c r="D332" s="12" t="inlineStr">
        <is>
          <t>Hungría</t>
        </is>
      </c>
      <c r="E332" s="8" t="n"/>
      <c r="F332" s="8" t="n"/>
      <c r="G332" s="8">
        <f>IF(OR(ISBLANK(E332),ISBLANK(F332)),"",IF(E332&gt;F332,"Local",IF(E332=F332,"Empate","Visitante")))</f>
        <v/>
      </c>
      <c r="H332" s="8">
        <f>IF(VLOOKUP(B332,PARTIDOS!$A:$I,9,FALSE)="Cerrado",IF(G332=VLOOKUP(B332,PARTIDOS!$A:$I,8,FALSE),IF(AND(E332=VLOOKUP(B332,PARTIDOS!$A:$I,6,FALSE),F332=VLOOKUP(B332,PARTIDOS!$A:$I,7,FALSE)),3,1),0),"")</f>
        <v/>
      </c>
    </row>
    <row r="333" ht="20.1" customHeight="1">
      <c r="A333" s="12" t="inlineStr">
        <is>
          <t>Jugador 5</t>
        </is>
      </c>
      <c r="B333" s="8" t="inlineStr">
        <is>
          <t>M44</t>
        </is>
      </c>
      <c r="C333" s="12" t="inlineStr">
        <is>
          <t>Turquía</t>
        </is>
      </c>
      <c r="D333" s="12" t="inlineStr">
        <is>
          <t>Escocia</t>
        </is>
      </c>
      <c r="E333" s="8" t="n"/>
      <c r="F333" s="8" t="n"/>
      <c r="G333" s="8">
        <f>IF(OR(ISBLANK(E333),ISBLANK(F333)),"",IF(E333&gt;F333,"Local",IF(E333=F333,"Empate","Visitante")))</f>
        <v/>
      </c>
      <c r="H333" s="8">
        <f>IF(VLOOKUP(B333,PARTIDOS!$A:$I,9,FALSE)="Cerrado",IF(G333=VLOOKUP(B333,PARTIDOS!$A:$I,8,FALSE),IF(AND(E333=VLOOKUP(B333,PARTIDOS!$A:$I,6,FALSE),F333=VLOOKUP(B333,PARTIDOS!$A:$I,7,FALSE)),3,1),0),"")</f>
        <v/>
      </c>
    </row>
    <row r="334" ht="20.1" customHeight="1">
      <c r="A334" s="12" t="inlineStr">
        <is>
          <t>Jugador 5</t>
        </is>
      </c>
      <c r="B334" s="8" t="inlineStr">
        <is>
          <t>M45</t>
        </is>
      </c>
      <c r="C334" s="12" t="inlineStr">
        <is>
          <t>Austria</t>
        </is>
      </c>
      <c r="D334" s="12" t="inlineStr">
        <is>
          <t>Turquía</t>
        </is>
      </c>
      <c r="E334" s="8" t="n"/>
      <c r="F334" s="8" t="n"/>
      <c r="G334" s="8">
        <f>IF(OR(ISBLANK(E334),ISBLANK(F334)),"",IF(E334&gt;F334,"Local",IF(E334=F334,"Empate","Visitante")))</f>
        <v/>
      </c>
      <c r="H334" s="8">
        <f>IF(VLOOKUP(B334,PARTIDOS!$A:$I,9,FALSE)="Cerrado",IF(G334=VLOOKUP(B334,PARTIDOS!$A:$I,8,FALSE),IF(AND(E334=VLOOKUP(B334,PARTIDOS!$A:$I,6,FALSE),F334=VLOOKUP(B334,PARTIDOS!$A:$I,7,FALSE)),3,1),0),"")</f>
        <v/>
      </c>
    </row>
    <row r="335" ht="20.1" customHeight="1">
      <c r="A335" s="12" t="inlineStr">
        <is>
          <t>Jugador 5</t>
        </is>
      </c>
      <c r="B335" s="8" t="inlineStr">
        <is>
          <t>M46</t>
        </is>
      </c>
      <c r="C335" s="12" t="inlineStr">
        <is>
          <t>Hungría</t>
        </is>
      </c>
      <c r="D335" s="12" t="inlineStr">
        <is>
          <t>Escocia</t>
        </is>
      </c>
      <c r="E335" s="8" t="n"/>
      <c r="F335" s="8" t="n"/>
      <c r="G335" s="8">
        <f>IF(OR(ISBLANK(E335),ISBLANK(F335)),"",IF(E335&gt;F335,"Local",IF(E335=F335,"Empate","Visitante")))</f>
        <v/>
      </c>
      <c r="H335" s="8">
        <f>IF(VLOOKUP(B335,PARTIDOS!$A:$I,9,FALSE)="Cerrado",IF(G335=VLOOKUP(B335,PARTIDOS!$A:$I,8,FALSE),IF(AND(E335=VLOOKUP(B335,PARTIDOS!$A:$I,6,FALSE),F335=VLOOKUP(B335,PARTIDOS!$A:$I,7,FALSE)),3,1),0),"")</f>
        <v/>
      </c>
    </row>
    <row r="336" ht="20.1" customHeight="1">
      <c r="A336" s="12" t="inlineStr">
        <is>
          <t>Jugador 5</t>
        </is>
      </c>
      <c r="B336" s="8" t="inlineStr">
        <is>
          <t>M47</t>
        </is>
      </c>
      <c r="C336" s="12" t="inlineStr">
        <is>
          <t>Austria</t>
        </is>
      </c>
      <c r="D336" s="12" t="inlineStr">
        <is>
          <t>Escocia</t>
        </is>
      </c>
      <c r="E336" s="8" t="n"/>
      <c r="F336" s="8" t="n"/>
      <c r="G336" s="8">
        <f>IF(OR(ISBLANK(E336),ISBLANK(F336)),"",IF(E336&gt;F336,"Local",IF(E336=F336,"Empate","Visitante")))</f>
        <v/>
      </c>
      <c r="H336" s="8">
        <f>IF(VLOOKUP(B336,PARTIDOS!$A:$I,9,FALSE)="Cerrado",IF(G336=VLOOKUP(B336,PARTIDOS!$A:$I,8,FALSE),IF(AND(E336=VLOOKUP(B336,PARTIDOS!$A:$I,6,FALSE),F336=VLOOKUP(B336,PARTIDOS!$A:$I,7,FALSE)),3,1),0),"")</f>
        <v/>
      </c>
    </row>
    <row r="337" ht="20.1" customHeight="1">
      <c r="A337" s="12" t="inlineStr">
        <is>
          <t>Jugador 5</t>
        </is>
      </c>
      <c r="B337" s="8" t="inlineStr">
        <is>
          <t>M48</t>
        </is>
      </c>
      <c r="C337" s="12" t="inlineStr">
        <is>
          <t>Hungría</t>
        </is>
      </c>
      <c r="D337" s="12" t="inlineStr">
        <is>
          <t>Turquía</t>
        </is>
      </c>
      <c r="E337" s="8" t="n"/>
      <c r="F337" s="8" t="n"/>
      <c r="G337" s="8">
        <f>IF(OR(ISBLANK(E337),ISBLANK(F337)),"",IF(E337&gt;F337,"Local",IF(E337=F337,"Empate","Visitante")))</f>
        <v/>
      </c>
      <c r="H337" s="8">
        <f>IF(VLOOKUP(B337,PARTIDOS!$A:$I,9,FALSE)="Cerrado",IF(G337=VLOOKUP(B337,PARTIDOS!$A:$I,8,FALSE),IF(AND(E337=VLOOKUP(B337,PARTIDOS!$A:$I,6,FALSE),F337=VLOOKUP(B337,PARTIDOS!$A:$I,7,FALSE)),3,1),0),"")</f>
        <v/>
      </c>
    </row>
    <row r="338" ht="20.1" customHeight="1">
      <c r="A338" s="12" t="inlineStr">
        <is>
          <t>Jugador 5</t>
        </is>
      </c>
      <c r="B338" s="8" t="inlineStr">
        <is>
          <t>M49</t>
        </is>
      </c>
      <c r="C338" s="12" t="inlineStr">
        <is>
          <t>República Checa</t>
        </is>
      </c>
      <c r="D338" s="12" t="inlineStr">
        <is>
          <t>Noruega</t>
        </is>
      </c>
      <c r="E338" s="8" t="n"/>
      <c r="F338" s="8" t="n"/>
      <c r="G338" s="8">
        <f>IF(OR(ISBLANK(E338),ISBLANK(F338)),"",IF(E338&gt;F338,"Local",IF(E338=F338,"Empate","Visitante")))</f>
        <v/>
      </c>
      <c r="H338" s="8">
        <f>IF(VLOOKUP(B338,PARTIDOS!$A:$I,9,FALSE)="Cerrado",IF(G338=VLOOKUP(B338,PARTIDOS!$A:$I,8,FALSE),IF(AND(E338=VLOOKUP(B338,PARTIDOS!$A:$I,6,FALSE),F338=VLOOKUP(B338,PARTIDOS!$A:$I,7,FALSE)),3,1),0),"")</f>
        <v/>
      </c>
    </row>
    <row r="339" ht="20.1" customHeight="1">
      <c r="A339" s="12" t="inlineStr">
        <is>
          <t>Jugador 5</t>
        </is>
      </c>
      <c r="B339" s="8" t="inlineStr">
        <is>
          <t>M50</t>
        </is>
      </c>
      <c r="C339" s="12" t="inlineStr">
        <is>
          <t>Japón</t>
        </is>
      </c>
      <c r="D339" s="12" t="inlineStr">
        <is>
          <t>Irán</t>
        </is>
      </c>
      <c r="E339" s="8" t="n"/>
      <c r="F339" s="8" t="n"/>
      <c r="G339" s="8">
        <f>IF(OR(ISBLANK(E339),ISBLANK(F339)),"",IF(E339&gt;F339,"Local",IF(E339=F339,"Empate","Visitante")))</f>
        <v/>
      </c>
      <c r="H339" s="8">
        <f>IF(VLOOKUP(B339,PARTIDOS!$A:$I,9,FALSE)="Cerrado",IF(G339=VLOOKUP(B339,PARTIDOS!$A:$I,8,FALSE),IF(AND(E339=VLOOKUP(B339,PARTIDOS!$A:$I,6,FALSE),F339=VLOOKUP(B339,PARTIDOS!$A:$I,7,FALSE)),3,1),0),"")</f>
        <v/>
      </c>
    </row>
    <row r="340" ht="20.1" customHeight="1">
      <c r="A340" s="12" t="inlineStr">
        <is>
          <t>Jugador 5</t>
        </is>
      </c>
      <c r="B340" s="8" t="inlineStr">
        <is>
          <t>M51</t>
        </is>
      </c>
      <c r="C340" s="12" t="inlineStr">
        <is>
          <t>República Checa</t>
        </is>
      </c>
      <c r="D340" s="12" t="inlineStr">
        <is>
          <t>Japón</t>
        </is>
      </c>
      <c r="E340" s="8" t="n"/>
      <c r="F340" s="8" t="n"/>
      <c r="G340" s="8">
        <f>IF(OR(ISBLANK(E340),ISBLANK(F340)),"",IF(E340&gt;F340,"Local",IF(E340=F340,"Empate","Visitante")))</f>
        <v/>
      </c>
      <c r="H340" s="8">
        <f>IF(VLOOKUP(B340,PARTIDOS!$A:$I,9,FALSE)="Cerrado",IF(G340=VLOOKUP(B340,PARTIDOS!$A:$I,8,FALSE),IF(AND(E340=VLOOKUP(B340,PARTIDOS!$A:$I,6,FALSE),F340=VLOOKUP(B340,PARTIDOS!$A:$I,7,FALSE)),3,1),0),"")</f>
        <v/>
      </c>
    </row>
    <row r="341" ht="20.1" customHeight="1">
      <c r="A341" s="12" t="inlineStr">
        <is>
          <t>Jugador 5</t>
        </is>
      </c>
      <c r="B341" s="8" t="inlineStr">
        <is>
          <t>M52</t>
        </is>
      </c>
      <c r="C341" s="12" t="inlineStr">
        <is>
          <t>Noruega</t>
        </is>
      </c>
      <c r="D341" s="12" t="inlineStr">
        <is>
          <t>Irán</t>
        </is>
      </c>
      <c r="E341" s="8" t="n"/>
      <c r="F341" s="8" t="n"/>
      <c r="G341" s="8">
        <f>IF(OR(ISBLANK(E341),ISBLANK(F341)),"",IF(E341&gt;F341,"Local",IF(E341=F341,"Empate","Visitante")))</f>
        <v/>
      </c>
      <c r="H341" s="8">
        <f>IF(VLOOKUP(B341,PARTIDOS!$A:$I,9,FALSE)="Cerrado",IF(G341=VLOOKUP(B341,PARTIDOS!$A:$I,8,FALSE),IF(AND(E341=VLOOKUP(B341,PARTIDOS!$A:$I,6,FALSE),F341=VLOOKUP(B341,PARTIDOS!$A:$I,7,FALSE)),3,1),0),"")</f>
        <v/>
      </c>
    </row>
    <row r="342" ht="20.1" customHeight="1">
      <c r="A342" s="12" t="inlineStr">
        <is>
          <t>Jugador 5</t>
        </is>
      </c>
      <c r="B342" s="8" t="inlineStr">
        <is>
          <t>M53</t>
        </is>
      </c>
      <c r="C342" s="12" t="inlineStr">
        <is>
          <t>República Checa</t>
        </is>
      </c>
      <c r="D342" s="12" t="inlineStr">
        <is>
          <t>Irán</t>
        </is>
      </c>
      <c r="E342" s="8" t="n"/>
      <c r="F342" s="8" t="n"/>
      <c r="G342" s="8">
        <f>IF(OR(ISBLANK(E342),ISBLANK(F342)),"",IF(E342&gt;F342,"Local",IF(E342=F342,"Empate","Visitante")))</f>
        <v/>
      </c>
      <c r="H342" s="8">
        <f>IF(VLOOKUP(B342,PARTIDOS!$A:$I,9,FALSE)="Cerrado",IF(G342=VLOOKUP(B342,PARTIDOS!$A:$I,8,FALSE),IF(AND(E342=VLOOKUP(B342,PARTIDOS!$A:$I,6,FALSE),F342=VLOOKUP(B342,PARTIDOS!$A:$I,7,FALSE)),3,1),0),"")</f>
        <v/>
      </c>
    </row>
    <row r="343" ht="20.1" customHeight="1">
      <c r="A343" s="12" t="inlineStr">
        <is>
          <t>Jugador 5</t>
        </is>
      </c>
      <c r="B343" s="8" t="inlineStr">
        <is>
          <t>M54</t>
        </is>
      </c>
      <c r="C343" s="12" t="inlineStr">
        <is>
          <t>Noruega</t>
        </is>
      </c>
      <c r="D343" s="12" t="inlineStr">
        <is>
          <t>Japón</t>
        </is>
      </c>
      <c r="E343" s="8" t="n"/>
      <c r="F343" s="8" t="n"/>
      <c r="G343" s="8">
        <f>IF(OR(ISBLANK(E343),ISBLANK(F343)),"",IF(E343&gt;F343,"Local",IF(E343=F343,"Empate","Visitante")))</f>
        <v/>
      </c>
      <c r="H343" s="8">
        <f>IF(VLOOKUP(B343,PARTIDOS!$A:$I,9,FALSE)="Cerrado",IF(G343=VLOOKUP(B343,PARTIDOS!$A:$I,8,FALSE),IF(AND(E343=VLOOKUP(B343,PARTIDOS!$A:$I,6,FALSE),F343=VLOOKUP(B343,PARTIDOS!$A:$I,7,FALSE)),3,1),0),"")</f>
        <v/>
      </c>
    </row>
    <row r="344" ht="20.1" customHeight="1">
      <c r="A344" s="12" t="inlineStr">
        <is>
          <t>Jugador 5</t>
        </is>
      </c>
      <c r="B344" s="8" t="inlineStr">
        <is>
          <t>M55</t>
        </is>
      </c>
      <c r="C344" s="12" t="inlineStr">
        <is>
          <t>Corea del Sur</t>
        </is>
      </c>
      <c r="D344" s="12" t="inlineStr">
        <is>
          <t>Australia</t>
        </is>
      </c>
      <c r="E344" s="8" t="n"/>
      <c r="F344" s="8" t="n"/>
      <c r="G344" s="8">
        <f>IF(OR(ISBLANK(E344),ISBLANK(F344)),"",IF(E344&gt;F344,"Local",IF(E344=F344,"Empate","Visitante")))</f>
        <v/>
      </c>
      <c r="H344" s="8">
        <f>IF(VLOOKUP(B344,PARTIDOS!$A:$I,9,FALSE)="Cerrado",IF(G344=VLOOKUP(B344,PARTIDOS!$A:$I,8,FALSE),IF(AND(E344=VLOOKUP(B344,PARTIDOS!$A:$I,6,FALSE),F344=VLOOKUP(B344,PARTIDOS!$A:$I,7,FALSE)),3,1),0),"")</f>
        <v/>
      </c>
    </row>
    <row r="345" ht="20.1" customHeight="1">
      <c r="A345" s="12" t="inlineStr">
        <is>
          <t>Jugador 5</t>
        </is>
      </c>
      <c r="B345" s="8" t="inlineStr">
        <is>
          <t>M56</t>
        </is>
      </c>
      <c r="C345" s="12" t="inlineStr">
        <is>
          <t>Marruecos</t>
        </is>
      </c>
      <c r="D345" s="12" t="inlineStr">
        <is>
          <t>Senegal</t>
        </is>
      </c>
      <c r="E345" s="8" t="n"/>
      <c r="F345" s="8" t="n"/>
      <c r="G345" s="8">
        <f>IF(OR(ISBLANK(E345),ISBLANK(F345)),"",IF(E345&gt;F345,"Local",IF(E345=F345,"Empate","Visitante")))</f>
        <v/>
      </c>
      <c r="H345" s="8">
        <f>IF(VLOOKUP(B345,PARTIDOS!$A:$I,9,FALSE)="Cerrado",IF(G345=VLOOKUP(B345,PARTIDOS!$A:$I,8,FALSE),IF(AND(E345=VLOOKUP(B345,PARTIDOS!$A:$I,6,FALSE),F345=VLOOKUP(B345,PARTIDOS!$A:$I,7,FALSE)),3,1),0),"")</f>
        <v/>
      </c>
    </row>
    <row r="346" ht="20.1" customHeight="1">
      <c r="A346" s="12" t="inlineStr">
        <is>
          <t>Jugador 5</t>
        </is>
      </c>
      <c r="B346" s="8" t="inlineStr">
        <is>
          <t>M57</t>
        </is>
      </c>
      <c r="C346" s="12" t="inlineStr">
        <is>
          <t>Corea del Sur</t>
        </is>
      </c>
      <c r="D346" s="12" t="inlineStr">
        <is>
          <t>Marruecos</t>
        </is>
      </c>
      <c r="E346" s="8" t="n"/>
      <c r="F346" s="8" t="n"/>
      <c r="G346" s="8">
        <f>IF(OR(ISBLANK(E346),ISBLANK(F346)),"",IF(E346&gt;F346,"Local",IF(E346=F346,"Empate","Visitante")))</f>
        <v/>
      </c>
      <c r="H346" s="8">
        <f>IF(VLOOKUP(B346,PARTIDOS!$A:$I,9,FALSE)="Cerrado",IF(G346=VLOOKUP(B346,PARTIDOS!$A:$I,8,FALSE),IF(AND(E346=VLOOKUP(B346,PARTIDOS!$A:$I,6,FALSE),F346=VLOOKUP(B346,PARTIDOS!$A:$I,7,FALSE)),3,1),0),"")</f>
        <v/>
      </c>
    </row>
    <row r="347" ht="20.1" customHeight="1">
      <c r="A347" s="12" t="inlineStr">
        <is>
          <t>Jugador 5</t>
        </is>
      </c>
      <c r="B347" s="8" t="inlineStr">
        <is>
          <t>M58</t>
        </is>
      </c>
      <c r="C347" s="12" t="inlineStr">
        <is>
          <t>Australia</t>
        </is>
      </c>
      <c r="D347" s="12" t="inlineStr">
        <is>
          <t>Senegal</t>
        </is>
      </c>
      <c r="E347" s="8" t="n"/>
      <c r="F347" s="8" t="n"/>
      <c r="G347" s="8">
        <f>IF(OR(ISBLANK(E347),ISBLANK(F347)),"",IF(E347&gt;F347,"Local",IF(E347=F347,"Empate","Visitante")))</f>
        <v/>
      </c>
      <c r="H347" s="8">
        <f>IF(VLOOKUP(B347,PARTIDOS!$A:$I,9,FALSE)="Cerrado",IF(G347=VLOOKUP(B347,PARTIDOS!$A:$I,8,FALSE),IF(AND(E347=VLOOKUP(B347,PARTIDOS!$A:$I,6,FALSE),F347=VLOOKUP(B347,PARTIDOS!$A:$I,7,FALSE)),3,1),0),"")</f>
        <v/>
      </c>
    </row>
    <row r="348" ht="20.1" customHeight="1">
      <c r="A348" s="12" t="inlineStr">
        <is>
          <t>Jugador 5</t>
        </is>
      </c>
      <c r="B348" s="8" t="inlineStr">
        <is>
          <t>M59</t>
        </is>
      </c>
      <c r="C348" s="12" t="inlineStr">
        <is>
          <t>Corea del Sur</t>
        </is>
      </c>
      <c r="D348" s="12" t="inlineStr">
        <is>
          <t>Senegal</t>
        </is>
      </c>
      <c r="E348" s="8" t="n"/>
      <c r="F348" s="8" t="n"/>
      <c r="G348" s="8">
        <f>IF(OR(ISBLANK(E348),ISBLANK(F348)),"",IF(E348&gt;F348,"Local",IF(E348=F348,"Empate","Visitante")))</f>
        <v/>
      </c>
      <c r="H348" s="8">
        <f>IF(VLOOKUP(B348,PARTIDOS!$A:$I,9,FALSE)="Cerrado",IF(G348=VLOOKUP(B348,PARTIDOS!$A:$I,8,FALSE),IF(AND(E348=VLOOKUP(B348,PARTIDOS!$A:$I,6,FALSE),F348=VLOOKUP(B348,PARTIDOS!$A:$I,7,FALSE)),3,1),0),"")</f>
        <v/>
      </c>
    </row>
    <row r="349" ht="20.1" customHeight="1">
      <c r="A349" s="12" t="inlineStr">
        <is>
          <t>Jugador 5</t>
        </is>
      </c>
      <c r="B349" s="8" t="inlineStr">
        <is>
          <t>M60</t>
        </is>
      </c>
      <c r="C349" s="12" t="inlineStr">
        <is>
          <t>Australia</t>
        </is>
      </c>
      <c r="D349" s="12" t="inlineStr">
        <is>
          <t>Marruecos</t>
        </is>
      </c>
      <c r="E349" s="8" t="n"/>
      <c r="F349" s="8" t="n"/>
      <c r="G349" s="8">
        <f>IF(OR(ISBLANK(E349),ISBLANK(F349)),"",IF(E349&gt;F349,"Local",IF(E349=F349,"Empate","Visitante")))</f>
        <v/>
      </c>
      <c r="H349" s="8">
        <f>IF(VLOOKUP(B349,PARTIDOS!$A:$I,9,FALSE)="Cerrado",IF(G349=VLOOKUP(B349,PARTIDOS!$A:$I,8,FALSE),IF(AND(E349=VLOOKUP(B349,PARTIDOS!$A:$I,6,FALSE),F349=VLOOKUP(B349,PARTIDOS!$A:$I,7,FALSE)),3,1),0),"")</f>
        <v/>
      </c>
    </row>
    <row r="350" ht="20.1" customHeight="1">
      <c r="A350" s="12" t="inlineStr">
        <is>
          <t>Jugador 5</t>
        </is>
      </c>
      <c r="B350" s="8" t="inlineStr">
        <is>
          <t>M61</t>
        </is>
      </c>
      <c r="C350" s="12" t="inlineStr">
        <is>
          <t>Túnez</t>
        </is>
      </c>
      <c r="D350" s="12" t="inlineStr">
        <is>
          <t>Nigeria</t>
        </is>
      </c>
      <c r="E350" s="8" t="n"/>
      <c r="F350" s="8" t="n"/>
      <c r="G350" s="8">
        <f>IF(OR(ISBLANK(E350),ISBLANK(F350)),"",IF(E350&gt;F350,"Local",IF(E350=F350,"Empate","Visitante")))</f>
        <v/>
      </c>
      <c r="H350" s="8">
        <f>IF(VLOOKUP(B350,PARTIDOS!$A:$I,9,FALSE)="Cerrado",IF(G350=VLOOKUP(B350,PARTIDOS!$A:$I,8,FALSE),IF(AND(E350=VLOOKUP(B350,PARTIDOS!$A:$I,6,FALSE),F350=VLOOKUP(B350,PARTIDOS!$A:$I,7,FALSE)),3,1),0),"")</f>
        <v/>
      </c>
    </row>
    <row r="351" ht="20.1" customHeight="1">
      <c r="A351" s="12" t="inlineStr">
        <is>
          <t>Jugador 5</t>
        </is>
      </c>
      <c r="B351" s="8" t="inlineStr">
        <is>
          <t>M62</t>
        </is>
      </c>
      <c r="C351" s="12" t="inlineStr">
        <is>
          <t>Camerún</t>
        </is>
      </c>
      <c r="D351" s="12" t="inlineStr">
        <is>
          <t>Egipto</t>
        </is>
      </c>
      <c r="E351" s="8" t="n"/>
      <c r="F351" s="8" t="n"/>
      <c r="G351" s="8">
        <f>IF(OR(ISBLANK(E351),ISBLANK(F351)),"",IF(E351&gt;F351,"Local",IF(E351=F351,"Empate","Visitante")))</f>
        <v/>
      </c>
      <c r="H351" s="8">
        <f>IF(VLOOKUP(B351,PARTIDOS!$A:$I,9,FALSE)="Cerrado",IF(G351=VLOOKUP(B351,PARTIDOS!$A:$I,8,FALSE),IF(AND(E351=VLOOKUP(B351,PARTIDOS!$A:$I,6,FALSE),F351=VLOOKUP(B351,PARTIDOS!$A:$I,7,FALSE)),3,1),0),"")</f>
        <v/>
      </c>
    </row>
    <row r="352" ht="20.1" customHeight="1">
      <c r="A352" s="12" t="inlineStr">
        <is>
          <t>Jugador 5</t>
        </is>
      </c>
      <c r="B352" s="8" t="inlineStr">
        <is>
          <t>M63</t>
        </is>
      </c>
      <c r="C352" s="12" t="inlineStr">
        <is>
          <t>Túnez</t>
        </is>
      </c>
      <c r="D352" s="12" t="inlineStr">
        <is>
          <t>Camerún</t>
        </is>
      </c>
      <c r="E352" s="8" t="n"/>
      <c r="F352" s="8" t="n"/>
      <c r="G352" s="8">
        <f>IF(OR(ISBLANK(E352),ISBLANK(F352)),"",IF(E352&gt;F352,"Local",IF(E352=F352,"Empate","Visitante")))</f>
        <v/>
      </c>
      <c r="H352" s="8">
        <f>IF(VLOOKUP(B352,PARTIDOS!$A:$I,9,FALSE)="Cerrado",IF(G352=VLOOKUP(B352,PARTIDOS!$A:$I,8,FALSE),IF(AND(E352=VLOOKUP(B352,PARTIDOS!$A:$I,6,FALSE),F352=VLOOKUP(B352,PARTIDOS!$A:$I,7,FALSE)),3,1),0),"")</f>
        <v/>
      </c>
    </row>
    <row r="353" ht="20.1" customHeight="1">
      <c r="A353" s="12" t="inlineStr">
        <is>
          <t>Jugador 5</t>
        </is>
      </c>
      <c r="B353" s="8" t="inlineStr">
        <is>
          <t>M64</t>
        </is>
      </c>
      <c r="C353" s="12" t="inlineStr">
        <is>
          <t>Nigeria</t>
        </is>
      </c>
      <c r="D353" s="12" t="inlineStr">
        <is>
          <t>Egipto</t>
        </is>
      </c>
      <c r="E353" s="8" t="n"/>
      <c r="F353" s="8" t="n"/>
      <c r="G353" s="8">
        <f>IF(OR(ISBLANK(E353),ISBLANK(F353)),"",IF(E353&gt;F353,"Local",IF(E353=F353,"Empate","Visitante")))</f>
        <v/>
      </c>
      <c r="H353" s="8">
        <f>IF(VLOOKUP(B353,PARTIDOS!$A:$I,9,FALSE)="Cerrado",IF(G353=VLOOKUP(B353,PARTIDOS!$A:$I,8,FALSE),IF(AND(E353=VLOOKUP(B353,PARTIDOS!$A:$I,6,FALSE),F353=VLOOKUP(B353,PARTIDOS!$A:$I,7,FALSE)),3,1),0),"")</f>
        <v/>
      </c>
    </row>
    <row r="354" ht="20.1" customHeight="1">
      <c r="A354" s="12" t="inlineStr">
        <is>
          <t>Jugador 5</t>
        </is>
      </c>
      <c r="B354" s="8" t="inlineStr">
        <is>
          <t>M65</t>
        </is>
      </c>
      <c r="C354" s="12" t="inlineStr">
        <is>
          <t>Túnez</t>
        </is>
      </c>
      <c r="D354" s="12" t="inlineStr">
        <is>
          <t>Egipto</t>
        </is>
      </c>
      <c r="E354" s="8" t="n"/>
      <c r="F354" s="8" t="n"/>
      <c r="G354" s="8">
        <f>IF(OR(ISBLANK(E354),ISBLANK(F354)),"",IF(E354&gt;F354,"Local",IF(E354=F354,"Empate","Visitante")))</f>
        <v/>
      </c>
      <c r="H354" s="8">
        <f>IF(VLOOKUP(B354,PARTIDOS!$A:$I,9,FALSE)="Cerrado",IF(G354=VLOOKUP(B354,PARTIDOS!$A:$I,8,FALSE),IF(AND(E354=VLOOKUP(B354,PARTIDOS!$A:$I,6,FALSE),F354=VLOOKUP(B354,PARTIDOS!$A:$I,7,FALSE)),3,1),0),"")</f>
        <v/>
      </c>
    </row>
    <row r="355" ht="20.1" customHeight="1">
      <c r="A355" s="12" t="inlineStr">
        <is>
          <t>Jugador 5</t>
        </is>
      </c>
      <c r="B355" s="8" t="inlineStr">
        <is>
          <t>M66</t>
        </is>
      </c>
      <c r="C355" s="12" t="inlineStr">
        <is>
          <t>Nigeria</t>
        </is>
      </c>
      <c r="D355" s="12" t="inlineStr">
        <is>
          <t>Camerún</t>
        </is>
      </c>
      <c r="E355" s="8" t="n"/>
      <c r="F355" s="8" t="n"/>
      <c r="G355" s="8">
        <f>IF(OR(ISBLANK(E355),ISBLANK(F355)),"",IF(E355&gt;F355,"Local",IF(E355=F355,"Empate","Visitante")))</f>
        <v/>
      </c>
      <c r="H355" s="8">
        <f>IF(VLOOKUP(B355,PARTIDOS!$A:$I,9,FALSE)="Cerrado",IF(G355=VLOOKUP(B355,PARTIDOS!$A:$I,8,FALSE),IF(AND(E355=VLOOKUP(B355,PARTIDOS!$A:$I,6,FALSE),F355=VLOOKUP(B355,PARTIDOS!$A:$I,7,FALSE)),3,1),0),"")</f>
        <v/>
      </c>
    </row>
    <row r="356" ht="20.1" customHeight="1">
      <c r="A356" s="12" t="inlineStr">
        <is>
          <t>Jugador 5</t>
        </is>
      </c>
      <c r="B356" s="8" t="inlineStr">
        <is>
          <t>M67</t>
        </is>
      </c>
      <c r="C356" s="12" t="inlineStr">
        <is>
          <t>Costa de Marfil</t>
        </is>
      </c>
      <c r="D356" s="12" t="inlineStr">
        <is>
          <t>Sudáfrica</t>
        </is>
      </c>
      <c r="E356" s="8" t="n"/>
      <c r="F356" s="8" t="n"/>
      <c r="G356" s="8">
        <f>IF(OR(ISBLANK(E356),ISBLANK(F356)),"",IF(E356&gt;F356,"Local",IF(E356=F356,"Empate","Visitante")))</f>
        <v/>
      </c>
      <c r="H356" s="8">
        <f>IF(VLOOKUP(B356,PARTIDOS!$A:$I,9,FALSE)="Cerrado",IF(G356=VLOOKUP(B356,PARTIDOS!$A:$I,8,FALSE),IF(AND(E356=VLOOKUP(B356,PARTIDOS!$A:$I,6,FALSE),F356=VLOOKUP(B356,PARTIDOS!$A:$I,7,FALSE)),3,1),0),"")</f>
        <v/>
      </c>
    </row>
    <row r="357" ht="20.1" customHeight="1">
      <c r="A357" s="12" t="inlineStr">
        <is>
          <t>Jugador 5</t>
        </is>
      </c>
      <c r="B357" s="8" t="inlineStr">
        <is>
          <t>M68</t>
        </is>
      </c>
      <c r="C357" s="12" t="inlineStr">
        <is>
          <t>Panáma</t>
        </is>
      </c>
      <c r="D357" s="12" t="inlineStr">
        <is>
          <t>Nueva Zelanda</t>
        </is>
      </c>
      <c r="E357" s="8" t="n"/>
      <c r="F357" s="8" t="n"/>
      <c r="G357" s="8">
        <f>IF(OR(ISBLANK(E357),ISBLANK(F357)),"",IF(E357&gt;F357,"Local",IF(E357=F357,"Empate","Visitante")))</f>
        <v/>
      </c>
      <c r="H357" s="8">
        <f>IF(VLOOKUP(B357,PARTIDOS!$A:$I,9,FALSE)="Cerrado",IF(G357=VLOOKUP(B357,PARTIDOS!$A:$I,8,FALSE),IF(AND(E357=VLOOKUP(B357,PARTIDOS!$A:$I,6,FALSE),F357=VLOOKUP(B357,PARTIDOS!$A:$I,7,FALSE)),3,1),0),"")</f>
        <v/>
      </c>
    </row>
    <row r="358" ht="20.1" customHeight="1">
      <c r="A358" s="12" t="inlineStr">
        <is>
          <t>Jugador 5</t>
        </is>
      </c>
      <c r="B358" s="8" t="inlineStr">
        <is>
          <t>M69</t>
        </is>
      </c>
      <c r="C358" s="12" t="inlineStr">
        <is>
          <t>Costa de Marfil</t>
        </is>
      </c>
      <c r="D358" s="12" t="inlineStr">
        <is>
          <t>Panáma</t>
        </is>
      </c>
      <c r="E358" s="8" t="n"/>
      <c r="F358" s="8" t="n"/>
      <c r="G358" s="8">
        <f>IF(OR(ISBLANK(E358),ISBLANK(F358)),"",IF(E358&gt;F358,"Local",IF(E358=F358,"Empate","Visitante")))</f>
        <v/>
      </c>
      <c r="H358" s="8">
        <f>IF(VLOOKUP(B358,PARTIDOS!$A:$I,9,FALSE)="Cerrado",IF(G358=VLOOKUP(B358,PARTIDOS!$A:$I,8,FALSE),IF(AND(E358=VLOOKUP(B358,PARTIDOS!$A:$I,6,FALSE),F358=VLOOKUP(B358,PARTIDOS!$A:$I,7,FALSE)),3,1),0),"")</f>
        <v/>
      </c>
    </row>
    <row r="359" ht="20.1" customHeight="1">
      <c r="A359" s="12" t="inlineStr">
        <is>
          <t>Jugador 5</t>
        </is>
      </c>
      <c r="B359" s="8" t="inlineStr">
        <is>
          <t>M70</t>
        </is>
      </c>
      <c r="C359" s="12" t="inlineStr">
        <is>
          <t>Sudáfrica</t>
        </is>
      </c>
      <c r="D359" s="12" t="inlineStr">
        <is>
          <t>Nueva Zelanda</t>
        </is>
      </c>
      <c r="E359" s="8" t="n"/>
      <c r="F359" s="8" t="n"/>
      <c r="G359" s="8">
        <f>IF(OR(ISBLANK(E359),ISBLANK(F359)),"",IF(E359&gt;F359,"Local",IF(E359=F359,"Empate","Visitante")))</f>
        <v/>
      </c>
      <c r="H359" s="8">
        <f>IF(VLOOKUP(B359,PARTIDOS!$A:$I,9,FALSE)="Cerrado",IF(G359=VLOOKUP(B359,PARTIDOS!$A:$I,8,FALSE),IF(AND(E359=VLOOKUP(B359,PARTIDOS!$A:$I,6,FALSE),F359=VLOOKUP(B359,PARTIDOS!$A:$I,7,FALSE)),3,1),0),"")</f>
        <v/>
      </c>
    </row>
    <row r="360" ht="20.1" customHeight="1">
      <c r="A360" s="12" t="inlineStr">
        <is>
          <t>Jugador 5</t>
        </is>
      </c>
      <c r="B360" s="8" t="inlineStr">
        <is>
          <t>M71</t>
        </is>
      </c>
      <c r="C360" s="12" t="inlineStr">
        <is>
          <t>Costa de Marfil</t>
        </is>
      </c>
      <c r="D360" s="12" t="inlineStr">
        <is>
          <t>Nueva Zelanda</t>
        </is>
      </c>
      <c r="E360" s="8" t="n"/>
      <c r="F360" s="8" t="n"/>
      <c r="G360" s="8">
        <f>IF(OR(ISBLANK(E360),ISBLANK(F360)),"",IF(E360&gt;F360,"Local",IF(E360=F360,"Empate","Visitante")))</f>
        <v/>
      </c>
      <c r="H360" s="8">
        <f>IF(VLOOKUP(B360,PARTIDOS!$A:$I,9,FALSE)="Cerrado",IF(G360=VLOOKUP(B360,PARTIDOS!$A:$I,8,FALSE),IF(AND(E360=VLOOKUP(B360,PARTIDOS!$A:$I,6,FALSE),F360=VLOOKUP(B360,PARTIDOS!$A:$I,7,FALSE)),3,1),0),"")</f>
        <v/>
      </c>
    </row>
    <row r="361" ht="20.1" customHeight="1">
      <c r="A361" s="12" t="inlineStr">
        <is>
          <t>Jugador 5</t>
        </is>
      </c>
      <c r="B361" s="8" t="inlineStr">
        <is>
          <t>M72</t>
        </is>
      </c>
      <c r="C361" s="12" t="inlineStr">
        <is>
          <t>Sudáfrica</t>
        </is>
      </c>
      <c r="D361" s="12" t="inlineStr">
        <is>
          <t>Panáma</t>
        </is>
      </c>
      <c r="E361" s="8" t="n"/>
      <c r="F361" s="8" t="n"/>
      <c r="G361" s="8">
        <f>IF(OR(ISBLANK(E361),ISBLANK(F361)),"",IF(E361&gt;F361,"Local",IF(E361=F361,"Empate","Visitante")))</f>
        <v/>
      </c>
      <c r="H361" s="8">
        <f>IF(VLOOKUP(B361,PARTIDOS!$A:$I,9,FALSE)="Cerrado",IF(G361=VLOOKUP(B361,PARTIDOS!$A:$I,8,FALSE),IF(AND(E361=VLOOKUP(B361,PARTIDOS!$A:$I,6,FALSE),F361=VLOOKUP(B361,PARTIDOS!$A:$I,7,FALSE)),3,1),0),"")</f>
        <v/>
      </c>
    </row>
    <row r="362" ht="20.1" customHeight="1">
      <c r="A362" s="12" t="inlineStr">
        <is>
          <t>Jugador 6</t>
        </is>
      </c>
      <c r="B362" s="8" t="inlineStr">
        <is>
          <t>M01</t>
        </is>
      </c>
      <c r="C362" s="12" t="inlineStr">
        <is>
          <t>México</t>
        </is>
      </c>
      <c r="D362" s="12" t="inlineStr">
        <is>
          <t>EEUU</t>
        </is>
      </c>
      <c r="E362" s="8" t="n"/>
      <c r="F362" s="8" t="n"/>
      <c r="G362" s="8">
        <f>IF(OR(ISBLANK(E362),ISBLANK(F362)),"",IF(E362&gt;F362,"Local",IF(E362=F362,"Empate","Visitante")))</f>
        <v/>
      </c>
      <c r="H362" s="8">
        <f>IF(VLOOKUP(B362,PARTIDOS!$A:$I,9,FALSE)="Cerrado",IF(G362=VLOOKUP(B362,PARTIDOS!$A:$I,8,FALSE),IF(AND(E362=VLOOKUP(B362,PARTIDOS!$A:$I,6,FALSE),F362=VLOOKUP(B362,PARTIDOS!$A:$I,7,FALSE)),3,1),0),"")</f>
        <v/>
      </c>
    </row>
    <row r="363" ht="20.1" customHeight="1">
      <c r="A363" s="12" t="inlineStr">
        <is>
          <t>Jugador 6</t>
        </is>
      </c>
      <c r="B363" s="8" t="inlineStr">
        <is>
          <t>M02</t>
        </is>
      </c>
      <c r="C363" s="12" t="inlineStr">
        <is>
          <t>Canadá</t>
        </is>
      </c>
      <c r="D363" s="12" t="inlineStr">
        <is>
          <t>Jamaica</t>
        </is>
      </c>
      <c r="E363" s="8" t="n"/>
      <c r="F363" s="8" t="n"/>
      <c r="G363" s="8">
        <f>IF(OR(ISBLANK(E363),ISBLANK(F363)),"",IF(E363&gt;F363,"Local",IF(E363=F363,"Empate","Visitante")))</f>
        <v/>
      </c>
      <c r="H363" s="8">
        <f>IF(VLOOKUP(B363,PARTIDOS!$A:$I,9,FALSE)="Cerrado",IF(G363=VLOOKUP(B363,PARTIDOS!$A:$I,8,FALSE),IF(AND(E363=VLOOKUP(B363,PARTIDOS!$A:$I,6,FALSE),F363=VLOOKUP(B363,PARTIDOS!$A:$I,7,FALSE)),3,1),0),"")</f>
        <v/>
      </c>
    </row>
    <row r="364" ht="20.1" customHeight="1">
      <c r="A364" s="12" t="inlineStr">
        <is>
          <t>Jugador 6</t>
        </is>
      </c>
      <c r="B364" s="8" t="inlineStr">
        <is>
          <t>M03</t>
        </is>
      </c>
      <c r="C364" s="12" t="inlineStr">
        <is>
          <t>México</t>
        </is>
      </c>
      <c r="D364" s="12" t="inlineStr">
        <is>
          <t>Canadá</t>
        </is>
      </c>
      <c r="E364" s="8" t="n"/>
      <c r="F364" s="8" t="n"/>
      <c r="G364" s="8">
        <f>IF(OR(ISBLANK(E364),ISBLANK(F364)),"",IF(E364&gt;F364,"Local",IF(E364=F364,"Empate","Visitante")))</f>
        <v/>
      </c>
      <c r="H364" s="8">
        <f>IF(VLOOKUP(B364,PARTIDOS!$A:$I,9,FALSE)="Cerrado",IF(G364=VLOOKUP(B364,PARTIDOS!$A:$I,8,FALSE),IF(AND(E364=VLOOKUP(B364,PARTIDOS!$A:$I,6,FALSE),F364=VLOOKUP(B364,PARTIDOS!$A:$I,7,FALSE)),3,1),0),"")</f>
        <v/>
      </c>
    </row>
    <row r="365" ht="20.1" customHeight="1">
      <c r="A365" s="12" t="inlineStr">
        <is>
          <t>Jugador 6</t>
        </is>
      </c>
      <c r="B365" s="8" t="inlineStr">
        <is>
          <t>M04</t>
        </is>
      </c>
      <c r="C365" s="12" t="inlineStr">
        <is>
          <t>EEUU</t>
        </is>
      </c>
      <c r="D365" s="12" t="inlineStr">
        <is>
          <t>Jamaica</t>
        </is>
      </c>
      <c r="E365" s="8" t="n"/>
      <c r="F365" s="8" t="n"/>
      <c r="G365" s="8">
        <f>IF(OR(ISBLANK(E365),ISBLANK(F365)),"",IF(E365&gt;F365,"Local",IF(E365=F365,"Empate","Visitante")))</f>
        <v/>
      </c>
      <c r="H365" s="8">
        <f>IF(VLOOKUP(B365,PARTIDOS!$A:$I,9,FALSE)="Cerrado",IF(G365=VLOOKUP(B365,PARTIDOS!$A:$I,8,FALSE),IF(AND(E365=VLOOKUP(B365,PARTIDOS!$A:$I,6,FALSE),F365=VLOOKUP(B365,PARTIDOS!$A:$I,7,FALSE)),3,1),0),"")</f>
        <v/>
      </c>
    </row>
    <row r="366" ht="20.1" customHeight="1">
      <c r="A366" s="12" t="inlineStr">
        <is>
          <t>Jugador 6</t>
        </is>
      </c>
      <c r="B366" s="8" t="inlineStr">
        <is>
          <t>M05</t>
        </is>
      </c>
      <c r="C366" s="12" t="inlineStr">
        <is>
          <t>México</t>
        </is>
      </c>
      <c r="D366" s="12" t="inlineStr">
        <is>
          <t>Jamaica</t>
        </is>
      </c>
      <c r="E366" s="8" t="n"/>
      <c r="F366" s="8" t="n"/>
      <c r="G366" s="8">
        <f>IF(OR(ISBLANK(E366),ISBLANK(F366)),"",IF(E366&gt;F366,"Local",IF(E366=F366,"Empate","Visitante")))</f>
        <v/>
      </c>
      <c r="H366" s="8">
        <f>IF(VLOOKUP(B366,PARTIDOS!$A:$I,9,FALSE)="Cerrado",IF(G366=VLOOKUP(B366,PARTIDOS!$A:$I,8,FALSE),IF(AND(E366=VLOOKUP(B366,PARTIDOS!$A:$I,6,FALSE),F366=VLOOKUP(B366,PARTIDOS!$A:$I,7,FALSE)),3,1),0),"")</f>
        <v/>
      </c>
    </row>
    <row r="367" ht="20.1" customHeight="1">
      <c r="A367" s="12" t="inlineStr">
        <is>
          <t>Jugador 6</t>
        </is>
      </c>
      <c r="B367" s="8" t="inlineStr">
        <is>
          <t>M06</t>
        </is>
      </c>
      <c r="C367" s="12" t="inlineStr">
        <is>
          <t>EEUU</t>
        </is>
      </c>
      <c r="D367" s="12" t="inlineStr">
        <is>
          <t>Canadá</t>
        </is>
      </c>
      <c r="E367" s="8" t="n"/>
      <c r="F367" s="8" t="n"/>
      <c r="G367" s="8">
        <f>IF(OR(ISBLANK(E367),ISBLANK(F367)),"",IF(E367&gt;F367,"Local",IF(E367=F367,"Empate","Visitante")))</f>
        <v/>
      </c>
      <c r="H367" s="8">
        <f>IF(VLOOKUP(B367,PARTIDOS!$A:$I,9,FALSE)="Cerrado",IF(G367=VLOOKUP(B367,PARTIDOS!$A:$I,8,FALSE),IF(AND(E367=VLOOKUP(B367,PARTIDOS!$A:$I,6,FALSE),F367=VLOOKUP(B367,PARTIDOS!$A:$I,7,FALSE)),3,1),0),"")</f>
        <v/>
      </c>
    </row>
    <row r="368" ht="20.1" customHeight="1">
      <c r="A368" s="12" t="inlineStr">
        <is>
          <t>Jugador 6</t>
        </is>
      </c>
      <c r="B368" s="8" t="inlineStr">
        <is>
          <t>M07</t>
        </is>
      </c>
      <c r="C368" s="12" t="inlineStr">
        <is>
          <t>Argentina</t>
        </is>
      </c>
      <c r="D368" s="12" t="inlineStr">
        <is>
          <t>Brasil</t>
        </is>
      </c>
      <c r="E368" s="8" t="n"/>
      <c r="F368" s="8" t="n"/>
      <c r="G368" s="8">
        <f>IF(OR(ISBLANK(E368),ISBLANK(F368)),"",IF(E368&gt;F368,"Local",IF(E368=F368,"Empate","Visitante")))</f>
        <v/>
      </c>
      <c r="H368" s="8">
        <f>IF(VLOOKUP(B368,PARTIDOS!$A:$I,9,FALSE)="Cerrado",IF(G368=VLOOKUP(B368,PARTIDOS!$A:$I,8,FALSE),IF(AND(E368=VLOOKUP(B368,PARTIDOS!$A:$I,6,FALSE),F368=VLOOKUP(B368,PARTIDOS!$A:$I,7,FALSE)),3,1),0),"")</f>
        <v/>
      </c>
    </row>
    <row r="369" ht="20.1" customHeight="1">
      <c r="A369" s="12" t="inlineStr">
        <is>
          <t>Jugador 6</t>
        </is>
      </c>
      <c r="B369" s="8" t="inlineStr">
        <is>
          <t>M08</t>
        </is>
      </c>
      <c r="C369" s="12" t="inlineStr">
        <is>
          <t>Colombia</t>
        </is>
      </c>
      <c r="D369" s="12" t="inlineStr">
        <is>
          <t>Uruguay</t>
        </is>
      </c>
      <c r="E369" s="8" t="n"/>
      <c r="F369" s="8" t="n"/>
      <c r="G369" s="8">
        <f>IF(OR(ISBLANK(E369),ISBLANK(F369)),"",IF(E369&gt;F369,"Local",IF(E369=F369,"Empate","Visitante")))</f>
        <v/>
      </c>
      <c r="H369" s="8">
        <f>IF(VLOOKUP(B369,PARTIDOS!$A:$I,9,FALSE)="Cerrado",IF(G369=VLOOKUP(B369,PARTIDOS!$A:$I,8,FALSE),IF(AND(E369=VLOOKUP(B369,PARTIDOS!$A:$I,6,FALSE),F369=VLOOKUP(B369,PARTIDOS!$A:$I,7,FALSE)),3,1),0),"")</f>
        <v/>
      </c>
    </row>
    <row r="370" ht="20.1" customHeight="1">
      <c r="A370" s="12" t="inlineStr">
        <is>
          <t>Jugador 6</t>
        </is>
      </c>
      <c r="B370" s="8" t="inlineStr">
        <is>
          <t>M09</t>
        </is>
      </c>
      <c r="C370" s="12" t="inlineStr">
        <is>
          <t>Argentina</t>
        </is>
      </c>
      <c r="D370" s="12" t="inlineStr">
        <is>
          <t>Colombia</t>
        </is>
      </c>
      <c r="E370" s="8" t="n"/>
      <c r="F370" s="8" t="n"/>
      <c r="G370" s="8">
        <f>IF(OR(ISBLANK(E370),ISBLANK(F370)),"",IF(E370&gt;F370,"Local",IF(E370=F370,"Empate","Visitante")))</f>
        <v/>
      </c>
      <c r="H370" s="8">
        <f>IF(VLOOKUP(B370,PARTIDOS!$A:$I,9,FALSE)="Cerrado",IF(G370=VLOOKUP(B370,PARTIDOS!$A:$I,8,FALSE),IF(AND(E370=VLOOKUP(B370,PARTIDOS!$A:$I,6,FALSE),F370=VLOOKUP(B370,PARTIDOS!$A:$I,7,FALSE)),3,1),0),"")</f>
        <v/>
      </c>
    </row>
    <row r="371" ht="20.1" customHeight="1">
      <c r="A371" s="12" t="inlineStr">
        <is>
          <t>Jugador 6</t>
        </is>
      </c>
      <c r="B371" s="8" t="inlineStr">
        <is>
          <t>M10</t>
        </is>
      </c>
      <c r="C371" s="12" t="inlineStr">
        <is>
          <t>Brasil</t>
        </is>
      </c>
      <c r="D371" s="12" t="inlineStr">
        <is>
          <t>Uruguay</t>
        </is>
      </c>
      <c r="E371" s="8" t="n"/>
      <c r="F371" s="8" t="n"/>
      <c r="G371" s="8">
        <f>IF(OR(ISBLANK(E371),ISBLANK(F371)),"",IF(E371&gt;F371,"Local",IF(E371=F371,"Empate","Visitante")))</f>
        <v/>
      </c>
      <c r="H371" s="8">
        <f>IF(VLOOKUP(B371,PARTIDOS!$A:$I,9,FALSE)="Cerrado",IF(G371=VLOOKUP(B371,PARTIDOS!$A:$I,8,FALSE),IF(AND(E371=VLOOKUP(B371,PARTIDOS!$A:$I,6,FALSE),F371=VLOOKUP(B371,PARTIDOS!$A:$I,7,FALSE)),3,1),0),"")</f>
        <v/>
      </c>
    </row>
    <row r="372" ht="20.1" customHeight="1">
      <c r="A372" s="12" t="inlineStr">
        <is>
          <t>Jugador 6</t>
        </is>
      </c>
      <c r="B372" s="8" t="inlineStr">
        <is>
          <t>M11</t>
        </is>
      </c>
      <c r="C372" s="12" t="inlineStr">
        <is>
          <t>Argentina</t>
        </is>
      </c>
      <c r="D372" s="12" t="inlineStr">
        <is>
          <t>Uruguay</t>
        </is>
      </c>
      <c r="E372" s="8" t="n"/>
      <c r="F372" s="8" t="n"/>
      <c r="G372" s="8">
        <f>IF(OR(ISBLANK(E372),ISBLANK(F372)),"",IF(E372&gt;F372,"Local",IF(E372=F372,"Empate","Visitante")))</f>
        <v/>
      </c>
      <c r="H372" s="8">
        <f>IF(VLOOKUP(B372,PARTIDOS!$A:$I,9,FALSE)="Cerrado",IF(G372=VLOOKUP(B372,PARTIDOS!$A:$I,8,FALSE),IF(AND(E372=VLOOKUP(B372,PARTIDOS!$A:$I,6,FALSE),F372=VLOOKUP(B372,PARTIDOS!$A:$I,7,FALSE)),3,1),0),"")</f>
        <v/>
      </c>
    </row>
    <row r="373" ht="20.1" customHeight="1">
      <c r="A373" s="12" t="inlineStr">
        <is>
          <t>Jugador 6</t>
        </is>
      </c>
      <c r="B373" s="8" t="inlineStr">
        <is>
          <t>M12</t>
        </is>
      </c>
      <c r="C373" s="12" t="inlineStr">
        <is>
          <t>Brasil</t>
        </is>
      </c>
      <c r="D373" s="12" t="inlineStr">
        <is>
          <t>Colombia</t>
        </is>
      </c>
      <c r="E373" s="8" t="n"/>
      <c r="F373" s="8" t="n"/>
      <c r="G373" s="8">
        <f>IF(OR(ISBLANK(E373),ISBLANK(F373)),"",IF(E373&gt;F373,"Local",IF(E373=F373,"Empate","Visitante")))</f>
        <v/>
      </c>
      <c r="H373" s="8">
        <f>IF(VLOOKUP(B373,PARTIDOS!$A:$I,9,FALSE)="Cerrado",IF(G373=VLOOKUP(B373,PARTIDOS!$A:$I,8,FALSE),IF(AND(E373=VLOOKUP(B373,PARTIDOS!$A:$I,6,FALSE),F373=VLOOKUP(B373,PARTIDOS!$A:$I,7,FALSE)),3,1),0),"")</f>
        <v/>
      </c>
    </row>
    <row r="374" ht="20.1" customHeight="1">
      <c r="A374" s="12" t="inlineStr">
        <is>
          <t>Jugador 6</t>
        </is>
      </c>
      <c r="B374" s="8" t="inlineStr">
        <is>
          <t>M13</t>
        </is>
      </c>
      <c r="C374" s="12" t="inlineStr">
        <is>
          <t>Ecuador</t>
        </is>
      </c>
      <c r="D374" s="12" t="inlineStr">
        <is>
          <t>Perú</t>
        </is>
      </c>
      <c r="E374" s="8" t="n"/>
      <c r="F374" s="8" t="n"/>
      <c r="G374" s="8">
        <f>IF(OR(ISBLANK(E374),ISBLANK(F374)),"",IF(E374&gt;F374,"Local",IF(E374=F374,"Empate","Visitante")))</f>
        <v/>
      </c>
      <c r="H374" s="8">
        <f>IF(VLOOKUP(B374,PARTIDOS!$A:$I,9,FALSE)="Cerrado",IF(G374=VLOOKUP(B374,PARTIDOS!$A:$I,8,FALSE),IF(AND(E374=VLOOKUP(B374,PARTIDOS!$A:$I,6,FALSE),F374=VLOOKUP(B374,PARTIDOS!$A:$I,7,FALSE)),3,1),0),"")</f>
        <v/>
      </c>
    </row>
    <row r="375" ht="20.1" customHeight="1">
      <c r="A375" s="12" t="inlineStr">
        <is>
          <t>Jugador 6</t>
        </is>
      </c>
      <c r="B375" s="8" t="inlineStr">
        <is>
          <t>M14</t>
        </is>
      </c>
      <c r="C375" s="12" t="inlineStr">
        <is>
          <t>Chile</t>
        </is>
      </c>
      <c r="D375" s="12" t="inlineStr">
        <is>
          <t>Paraguay</t>
        </is>
      </c>
      <c r="E375" s="8" t="n"/>
      <c r="F375" s="8" t="n"/>
      <c r="G375" s="8">
        <f>IF(OR(ISBLANK(E375),ISBLANK(F375)),"",IF(E375&gt;F375,"Local",IF(E375=F375,"Empate","Visitante")))</f>
        <v/>
      </c>
      <c r="H375" s="8">
        <f>IF(VLOOKUP(B375,PARTIDOS!$A:$I,9,FALSE)="Cerrado",IF(G375=VLOOKUP(B375,PARTIDOS!$A:$I,8,FALSE),IF(AND(E375=VLOOKUP(B375,PARTIDOS!$A:$I,6,FALSE),F375=VLOOKUP(B375,PARTIDOS!$A:$I,7,FALSE)),3,1),0),"")</f>
        <v/>
      </c>
    </row>
    <row r="376" ht="20.1" customHeight="1">
      <c r="A376" s="12" t="inlineStr">
        <is>
          <t>Jugador 6</t>
        </is>
      </c>
      <c r="B376" s="8" t="inlineStr">
        <is>
          <t>M15</t>
        </is>
      </c>
      <c r="C376" s="12" t="inlineStr">
        <is>
          <t>Ecuador</t>
        </is>
      </c>
      <c r="D376" s="12" t="inlineStr">
        <is>
          <t>Chile</t>
        </is>
      </c>
      <c r="E376" s="8" t="n"/>
      <c r="F376" s="8" t="n"/>
      <c r="G376" s="8">
        <f>IF(OR(ISBLANK(E376),ISBLANK(F376)),"",IF(E376&gt;F376,"Local",IF(E376=F376,"Empate","Visitante")))</f>
        <v/>
      </c>
      <c r="H376" s="8">
        <f>IF(VLOOKUP(B376,PARTIDOS!$A:$I,9,FALSE)="Cerrado",IF(G376=VLOOKUP(B376,PARTIDOS!$A:$I,8,FALSE),IF(AND(E376=VLOOKUP(B376,PARTIDOS!$A:$I,6,FALSE),F376=VLOOKUP(B376,PARTIDOS!$A:$I,7,FALSE)),3,1),0),"")</f>
        <v/>
      </c>
    </row>
    <row r="377" ht="20.1" customHeight="1">
      <c r="A377" s="12" t="inlineStr">
        <is>
          <t>Jugador 6</t>
        </is>
      </c>
      <c r="B377" s="8" t="inlineStr">
        <is>
          <t>M16</t>
        </is>
      </c>
      <c r="C377" s="12" t="inlineStr">
        <is>
          <t>Perú</t>
        </is>
      </c>
      <c r="D377" s="12" t="inlineStr">
        <is>
          <t>Paraguay</t>
        </is>
      </c>
      <c r="E377" s="8" t="n"/>
      <c r="F377" s="8" t="n"/>
      <c r="G377" s="8">
        <f>IF(OR(ISBLANK(E377),ISBLANK(F377)),"",IF(E377&gt;F377,"Local",IF(E377=F377,"Empate","Visitante")))</f>
        <v/>
      </c>
      <c r="H377" s="8">
        <f>IF(VLOOKUP(B377,PARTIDOS!$A:$I,9,FALSE)="Cerrado",IF(G377=VLOOKUP(B377,PARTIDOS!$A:$I,8,FALSE),IF(AND(E377=VLOOKUP(B377,PARTIDOS!$A:$I,6,FALSE),F377=VLOOKUP(B377,PARTIDOS!$A:$I,7,FALSE)),3,1),0),"")</f>
        <v/>
      </c>
    </row>
    <row r="378" ht="20.1" customHeight="1">
      <c r="A378" s="12" t="inlineStr">
        <is>
          <t>Jugador 6</t>
        </is>
      </c>
      <c r="B378" s="8" t="inlineStr">
        <is>
          <t>M17</t>
        </is>
      </c>
      <c r="C378" s="12" t="inlineStr">
        <is>
          <t>Ecuador</t>
        </is>
      </c>
      <c r="D378" s="12" t="inlineStr">
        <is>
          <t>Paraguay</t>
        </is>
      </c>
      <c r="E378" s="8" t="n"/>
      <c r="F378" s="8" t="n"/>
      <c r="G378" s="8">
        <f>IF(OR(ISBLANK(E378),ISBLANK(F378)),"",IF(E378&gt;F378,"Local",IF(E378=F378,"Empate","Visitante")))</f>
        <v/>
      </c>
      <c r="H378" s="8">
        <f>IF(VLOOKUP(B378,PARTIDOS!$A:$I,9,FALSE)="Cerrado",IF(G378=VLOOKUP(B378,PARTIDOS!$A:$I,8,FALSE),IF(AND(E378=VLOOKUP(B378,PARTIDOS!$A:$I,6,FALSE),F378=VLOOKUP(B378,PARTIDOS!$A:$I,7,FALSE)),3,1),0),"")</f>
        <v/>
      </c>
    </row>
    <row r="379" ht="20.1" customHeight="1">
      <c r="A379" s="12" t="inlineStr">
        <is>
          <t>Jugador 6</t>
        </is>
      </c>
      <c r="B379" s="8" t="inlineStr">
        <is>
          <t>M18</t>
        </is>
      </c>
      <c r="C379" s="12" t="inlineStr">
        <is>
          <t>Perú</t>
        </is>
      </c>
      <c r="D379" s="12" t="inlineStr">
        <is>
          <t>Chile</t>
        </is>
      </c>
      <c r="E379" s="8" t="n"/>
      <c r="F379" s="8" t="n"/>
      <c r="G379" s="8">
        <f>IF(OR(ISBLANK(E379),ISBLANK(F379)),"",IF(E379&gt;F379,"Local",IF(E379=F379,"Empate","Visitante")))</f>
        <v/>
      </c>
      <c r="H379" s="8">
        <f>IF(VLOOKUP(B379,PARTIDOS!$A:$I,9,FALSE)="Cerrado",IF(G379=VLOOKUP(B379,PARTIDOS!$A:$I,8,FALSE),IF(AND(E379=VLOOKUP(B379,PARTIDOS!$A:$I,6,FALSE),F379=VLOOKUP(B379,PARTIDOS!$A:$I,7,FALSE)),3,1),0),"")</f>
        <v/>
      </c>
    </row>
    <row r="380" ht="20.1" customHeight="1">
      <c r="A380" s="12" t="inlineStr">
        <is>
          <t>Jugador 6</t>
        </is>
      </c>
      <c r="B380" s="8" t="inlineStr">
        <is>
          <t>M19</t>
        </is>
      </c>
      <c r="C380" s="12" t="inlineStr">
        <is>
          <t>España</t>
        </is>
      </c>
      <c r="D380" s="12" t="inlineStr">
        <is>
          <t>Francia</t>
        </is>
      </c>
      <c r="E380" s="8" t="n"/>
      <c r="F380" s="8" t="n"/>
      <c r="G380" s="8">
        <f>IF(OR(ISBLANK(E380),ISBLANK(F380)),"",IF(E380&gt;F380,"Local",IF(E380=F380,"Empate","Visitante")))</f>
        <v/>
      </c>
      <c r="H380" s="8">
        <f>IF(VLOOKUP(B380,PARTIDOS!$A:$I,9,FALSE)="Cerrado",IF(G380=VLOOKUP(B380,PARTIDOS!$A:$I,8,FALSE),IF(AND(E380=VLOOKUP(B380,PARTIDOS!$A:$I,6,FALSE),F380=VLOOKUP(B380,PARTIDOS!$A:$I,7,FALSE)),3,1),0),"")</f>
        <v/>
      </c>
    </row>
    <row r="381" ht="20.1" customHeight="1">
      <c r="A381" s="12" t="inlineStr">
        <is>
          <t>Jugador 6</t>
        </is>
      </c>
      <c r="B381" s="8" t="inlineStr">
        <is>
          <t>M20</t>
        </is>
      </c>
      <c r="C381" s="12" t="inlineStr">
        <is>
          <t>Inglaterra</t>
        </is>
      </c>
      <c r="D381" s="12" t="inlineStr">
        <is>
          <t>Alemania</t>
        </is>
      </c>
      <c r="E381" s="8" t="n"/>
      <c r="F381" s="8" t="n"/>
      <c r="G381" s="8">
        <f>IF(OR(ISBLANK(E381),ISBLANK(F381)),"",IF(E381&gt;F381,"Local",IF(E381=F381,"Empate","Visitante")))</f>
        <v/>
      </c>
      <c r="H381" s="8">
        <f>IF(VLOOKUP(B381,PARTIDOS!$A:$I,9,FALSE)="Cerrado",IF(G381=VLOOKUP(B381,PARTIDOS!$A:$I,8,FALSE),IF(AND(E381=VLOOKUP(B381,PARTIDOS!$A:$I,6,FALSE),F381=VLOOKUP(B381,PARTIDOS!$A:$I,7,FALSE)),3,1),0),"")</f>
        <v/>
      </c>
    </row>
    <row r="382" ht="20.1" customHeight="1">
      <c r="A382" s="12" t="inlineStr">
        <is>
          <t>Jugador 6</t>
        </is>
      </c>
      <c r="B382" s="8" t="inlineStr">
        <is>
          <t>M21</t>
        </is>
      </c>
      <c r="C382" s="12" t="inlineStr">
        <is>
          <t>España</t>
        </is>
      </c>
      <c r="D382" s="12" t="inlineStr">
        <is>
          <t>Inglaterra</t>
        </is>
      </c>
      <c r="E382" s="8" t="n"/>
      <c r="F382" s="8" t="n"/>
      <c r="G382" s="8">
        <f>IF(OR(ISBLANK(E382),ISBLANK(F382)),"",IF(E382&gt;F382,"Local",IF(E382=F382,"Empate","Visitante")))</f>
        <v/>
      </c>
      <c r="H382" s="8">
        <f>IF(VLOOKUP(B382,PARTIDOS!$A:$I,9,FALSE)="Cerrado",IF(G382=VLOOKUP(B382,PARTIDOS!$A:$I,8,FALSE),IF(AND(E382=VLOOKUP(B382,PARTIDOS!$A:$I,6,FALSE),F382=VLOOKUP(B382,PARTIDOS!$A:$I,7,FALSE)),3,1),0),"")</f>
        <v/>
      </c>
    </row>
    <row r="383" ht="20.1" customHeight="1">
      <c r="A383" s="12" t="inlineStr">
        <is>
          <t>Jugador 6</t>
        </is>
      </c>
      <c r="B383" s="8" t="inlineStr">
        <is>
          <t>M22</t>
        </is>
      </c>
      <c r="C383" s="12" t="inlineStr">
        <is>
          <t>Francia</t>
        </is>
      </c>
      <c r="D383" s="12" t="inlineStr">
        <is>
          <t>Alemania</t>
        </is>
      </c>
      <c r="E383" s="8" t="n"/>
      <c r="F383" s="8" t="n"/>
      <c r="G383" s="8">
        <f>IF(OR(ISBLANK(E383),ISBLANK(F383)),"",IF(E383&gt;F383,"Local",IF(E383=F383,"Empate","Visitante")))</f>
        <v/>
      </c>
      <c r="H383" s="8">
        <f>IF(VLOOKUP(B383,PARTIDOS!$A:$I,9,FALSE)="Cerrado",IF(G383=VLOOKUP(B383,PARTIDOS!$A:$I,8,FALSE),IF(AND(E383=VLOOKUP(B383,PARTIDOS!$A:$I,6,FALSE),F383=VLOOKUP(B383,PARTIDOS!$A:$I,7,FALSE)),3,1),0),"")</f>
        <v/>
      </c>
    </row>
    <row r="384" ht="20.1" customHeight="1">
      <c r="A384" s="12" t="inlineStr">
        <is>
          <t>Jugador 6</t>
        </is>
      </c>
      <c r="B384" s="8" t="inlineStr">
        <is>
          <t>M23</t>
        </is>
      </c>
      <c r="C384" s="12" t="inlineStr">
        <is>
          <t>España</t>
        </is>
      </c>
      <c r="D384" s="12" t="inlineStr">
        <is>
          <t>Alemania</t>
        </is>
      </c>
      <c r="E384" s="8" t="n"/>
      <c r="F384" s="8" t="n"/>
      <c r="G384" s="8">
        <f>IF(OR(ISBLANK(E384),ISBLANK(F384)),"",IF(E384&gt;F384,"Local",IF(E384=F384,"Empate","Visitante")))</f>
        <v/>
      </c>
      <c r="H384" s="8">
        <f>IF(VLOOKUP(B384,PARTIDOS!$A:$I,9,FALSE)="Cerrado",IF(G384=VLOOKUP(B384,PARTIDOS!$A:$I,8,FALSE),IF(AND(E384=VLOOKUP(B384,PARTIDOS!$A:$I,6,FALSE),F384=VLOOKUP(B384,PARTIDOS!$A:$I,7,FALSE)),3,1),0),"")</f>
        <v/>
      </c>
    </row>
    <row r="385" ht="20.1" customHeight="1">
      <c r="A385" s="12" t="inlineStr">
        <is>
          <t>Jugador 6</t>
        </is>
      </c>
      <c r="B385" s="8" t="inlineStr">
        <is>
          <t>M24</t>
        </is>
      </c>
      <c r="C385" s="12" t="inlineStr">
        <is>
          <t>Francia</t>
        </is>
      </c>
      <c r="D385" s="12" t="inlineStr">
        <is>
          <t>Inglaterra</t>
        </is>
      </c>
      <c r="E385" s="8" t="n"/>
      <c r="F385" s="8" t="n"/>
      <c r="G385" s="8">
        <f>IF(OR(ISBLANK(E385),ISBLANK(F385)),"",IF(E385&gt;F385,"Local",IF(E385=F385,"Empate","Visitante")))</f>
        <v/>
      </c>
      <c r="H385" s="8">
        <f>IF(VLOOKUP(B385,PARTIDOS!$A:$I,9,FALSE)="Cerrado",IF(G385=VLOOKUP(B385,PARTIDOS!$A:$I,8,FALSE),IF(AND(E385=VLOOKUP(B385,PARTIDOS!$A:$I,6,FALSE),F385=VLOOKUP(B385,PARTIDOS!$A:$I,7,FALSE)),3,1),0),"")</f>
        <v/>
      </c>
    </row>
    <row r="386" ht="20.1" customHeight="1">
      <c r="A386" s="12" t="inlineStr">
        <is>
          <t>Jugador 6</t>
        </is>
      </c>
      <c r="B386" s="8" t="inlineStr">
        <is>
          <t>M25</t>
        </is>
      </c>
      <c r="C386" s="12" t="inlineStr">
        <is>
          <t>Portugal</t>
        </is>
      </c>
      <c r="D386" s="12" t="inlineStr">
        <is>
          <t>Bélgica</t>
        </is>
      </c>
      <c r="E386" s="8" t="n"/>
      <c r="F386" s="8" t="n"/>
      <c r="G386" s="8">
        <f>IF(OR(ISBLANK(E386),ISBLANK(F386)),"",IF(E386&gt;F386,"Local",IF(E386=F386,"Empate","Visitante")))</f>
        <v/>
      </c>
      <c r="H386" s="8">
        <f>IF(VLOOKUP(B386,PARTIDOS!$A:$I,9,FALSE)="Cerrado",IF(G386=VLOOKUP(B386,PARTIDOS!$A:$I,8,FALSE),IF(AND(E386=VLOOKUP(B386,PARTIDOS!$A:$I,6,FALSE),F386=VLOOKUP(B386,PARTIDOS!$A:$I,7,FALSE)),3,1),0),"")</f>
        <v/>
      </c>
    </row>
    <row r="387" ht="20.1" customHeight="1">
      <c r="A387" s="12" t="inlineStr">
        <is>
          <t>Jugador 6</t>
        </is>
      </c>
      <c r="B387" s="8" t="inlineStr">
        <is>
          <t>M26</t>
        </is>
      </c>
      <c r="C387" s="12" t="inlineStr">
        <is>
          <t>Países Bajos</t>
        </is>
      </c>
      <c r="D387" s="12" t="inlineStr">
        <is>
          <t>Italia</t>
        </is>
      </c>
      <c r="E387" s="8" t="n"/>
      <c r="F387" s="8" t="n"/>
      <c r="G387" s="8">
        <f>IF(OR(ISBLANK(E387),ISBLANK(F387)),"",IF(E387&gt;F387,"Local",IF(E387=F387,"Empate","Visitante")))</f>
        <v/>
      </c>
      <c r="H387" s="8">
        <f>IF(VLOOKUP(B387,PARTIDOS!$A:$I,9,FALSE)="Cerrado",IF(G387=VLOOKUP(B387,PARTIDOS!$A:$I,8,FALSE),IF(AND(E387=VLOOKUP(B387,PARTIDOS!$A:$I,6,FALSE),F387=VLOOKUP(B387,PARTIDOS!$A:$I,7,FALSE)),3,1),0),"")</f>
        <v/>
      </c>
    </row>
    <row r="388" ht="20.1" customHeight="1">
      <c r="A388" s="12" t="inlineStr">
        <is>
          <t>Jugador 6</t>
        </is>
      </c>
      <c r="B388" s="8" t="inlineStr">
        <is>
          <t>M27</t>
        </is>
      </c>
      <c r="C388" s="12" t="inlineStr">
        <is>
          <t>Portugal</t>
        </is>
      </c>
      <c r="D388" s="12" t="inlineStr">
        <is>
          <t>Países Bajos</t>
        </is>
      </c>
      <c r="E388" s="8" t="n"/>
      <c r="F388" s="8" t="n"/>
      <c r="G388" s="8">
        <f>IF(OR(ISBLANK(E388),ISBLANK(F388)),"",IF(E388&gt;F388,"Local",IF(E388=F388,"Empate","Visitante")))</f>
        <v/>
      </c>
      <c r="H388" s="8">
        <f>IF(VLOOKUP(B388,PARTIDOS!$A:$I,9,FALSE)="Cerrado",IF(G388=VLOOKUP(B388,PARTIDOS!$A:$I,8,FALSE),IF(AND(E388=VLOOKUP(B388,PARTIDOS!$A:$I,6,FALSE),F388=VLOOKUP(B388,PARTIDOS!$A:$I,7,FALSE)),3,1),0),"")</f>
        <v/>
      </c>
    </row>
    <row r="389" ht="20.1" customHeight="1">
      <c r="A389" s="12" t="inlineStr">
        <is>
          <t>Jugador 6</t>
        </is>
      </c>
      <c r="B389" s="8" t="inlineStr">
        <is>
          <t>M28</t>
        </is>
      </c>
      <c r="C389" s="12" t="inlineStr">
        <is>
          <t>Bélgica</t>
        </is>
      </c>
      <c r="D389" s="12" t="inlineStr">
        <is>
          <t>Italia</t>
        </is>
      </c>
      <c r="E389" s="8" t="n"/>
      <c r="F389" s="8" t="n"/>
      <c r="G389" s="8">
        <f>IF(OR(ISBLANK(E389),ISBLANK(F389)),"",IF(E389&gt;F389,"Local",IF(E389=F389,"Empate","Visitante")))</f>
        <v/>
      </c>
      <c r="H389" s="8">
        <f>IF(VLOOKUP(B389,PARTIDOS!$A:$I,9,FALSE)="Cerrado",IF(G389=VLOOKUP(B389,PARTIDOS!$A:$I,8,FALSE),IF(AND(E389=VLOOKUP(B389,PARTIDOS!$A:$I,6,FALSE),F389=VLOOKUP(B389,PARTIDOS!$A:$I,7,FALSE)),3,1),0),"")</f>
        <v/>
      </c>
    </row>
    <row r="390" ht="20.1" customHeight="1">
      <c r="A390" s="12" t="inlineStr">
        <is>
          <t>Jugador 6</t>
        </is>
      </c>
      <c r="B390" s="8" t="inlineStr">
        <is>
          <t>M29</t>
        </is>
      </c>
      <c r="C390" s="12" t="inlineStr">
        <is>
          <t>Portugal</t>
        </is>
      </c>
      <c r="D390" s="12" t="inlineStr">
        <is>
          <t>Italia</t>
        </is>
      </c>
      <c r="E390" s="8" t="n"/>
      <c r="F390" s="8" t="n"/>
      <c r="G390" s="8">
        <f>IF(OR(ISBLANK(E390),ISBLANK(F390)),"",IF(E390&gt;F390,"Local",IF(E390=F390,"Empate","Visitante")))</f>
        <v/>
      </c>
      <c r="H390" s="8">
        <f>IF(VLOOKUP(B390,PARTIDOS!$A:$I,9,FALSE)="Cerrado",IF(G390=VLOOKUP(B390,PARTIDOS!$A:$I,8,FALSE),IF(AND(E390=VLOOKUP(B390,PARTIDOS!$A:$I,6,FALSE),F390=VLOOKUP(B390,PARTIDOS!$A:$I,7,FALSE)),3,1),0),"")</f>
        <v/>
      </c>
    </row>
    <row r="391" ht="20.1" customHeight="1">
      <c r="A391" s="12" t="inlineStr">
        <is>
          <t>Jugador 6</t>
        </is>
      </c>
      <c r="B391" s="8" t="inlineStr">
        <is>
          <t>M30</t>
        </is>
      </c>
      <c r="C391" s="12" t="inlineStr">
        <is>
          <t>Bélgica</t>
        </is>
      </c>
      <c r="D391" s="12" t="inlineStr">
        <is>
          <t>Países Bajos</t>
        </is>
      </c>
      <c r="E391" s="8" t="n"/>
      <c r="F391" s="8" t="n"/>
      <c r="G391" s="8">
        <f>IF(OR(ISBLANK(E391),ISBLANK(F391)),"",IF(E391&gt;F391,"Local",IF(E391=F391,"Empate","Visitante")))</f>
        <v/>
      </c>
      <c r="H391" s="8">
        <f>IF(VLOOKUP(B391,PARTIDOS!$A:$I,9,FALSE)="Cerrado",IF(G391=VLOOKUP(B391,PARTIDOS!$A:$I,8,FALSE),IF(AND(E391=VLOOKUP(B391,PARTIDOS!$A:$I,6,FALSE),F391=VLOOKUP(B391,PARTIDOS!$A:$I,7,FALSE)),3,1),0),"")</f>
        <v/>
      </c>
    </row>
    <row r="392" ht="20.1" customHeight="1">
      <c r="A392" s="12" t="inlineStr">
        <is>
          <t>Jugador 6</t>
        </is>
      </c>
      <c r="B392" s="8" t="inlineStr">
        <is>
          <t>M31</t>
        </is>
      </c>
      <c r="C392" s="12" t="inlineStr">
        <is>
          <t>Croacia</t>
        </is>
      </c>
      <c r="D392" s="12" t="inlineStr">
        <is>
          <t>Suiza</t>
        </is>
      </c>
      <c r="E392" s="8" t="n"/>
      <c r="F392" s="8" t="n"/>
      <c r="G392" s="8">
        <f>IF(OR(ISBLANK(E392),ISBLANK(F392)),"",IF(E392&gt;F392,"Local",IF(E392=F392,"Empate","Visitante")))</f>
        <v/>
      </c>
      <c r="H392" s="8">
        <f>IF(VLOOKUP(B392,PARTIDOS!$A:$I,9,FALSE)="Cerrado",IF(G392=VLOOKUP(B392,PARTIDOS!$A:$I,8,FALSE),IF(AND(E392=VLOOKUP(B392,PARTIDOS!$A:$I,6,FALSE),F392=VLOOKUP(B392,PARTIDOS!$A:$I,7,FALSE)),3,1),0),"")</f>
        <v/>
      </c>
    </row>
    <row r="393" ht="20.1" customHeight="1">
      <c r="A393" s="12" t="inlineStr">
        <is>
          <t>Jugador 6</t>
        </is>
      </c>
      <c r="B393" s="8" t="inlineStr">
        <is>
          <t>M32</t>
        </is>
      </c>
      <c r="C393" s="12" t="inlineStr">
        <is>
          <t>Dinamarca</t>
        </is>
      </c>
      <c r="D393" s="12" t="inlineStr">
        <is>
          <t>Serbia</t>
        </is>
      </c>
      <c r="E393" s="8" t="n"/>
      <c r="F393" s="8" t="n"/>
      <c r="G393" s="8">
        <f>IF(OR(ISBLANK(E393),ISBLANK(F393)),"",IF(E393&gt;F393,"Local",IF(E393=F393,"Empate","Visitante")))</f>
        <v/>
      </c>
      <c r="H393" s="8">
        <f>IF(VLOOKUP(B393,PARTIDOS!$A:$I,9,FALSE)="Cerrado",IF(G393=VLOOKUP(B393,PARTIDOS!$A:$I,8,FALSE),IF(AND(E393=VLOOKUP(B393,PARTIDOS!$A:$I,6,FALSE),F393=VLOOKUP(B393,PARTIDOS!$A:$I,7,FALSE)),3,1),0),"")</f>
        <v/>
      </c>
    </row>
    <row r="394" ht="20.1" customHeight="1">
      <c r="A394" s="12" t="inlineStr">
        <is>
          <t>Jugador 6</t>
        </is>
      </c>
      <c r="B394" s="8" t="inlineStr">
        <is>
          <t>M33</t>
        </is>
      </c>
      <c r="C394" s="12" t="inlineStr">
        <is>
          <t>Croacia</t>
        </is>
      </c>
      <c r="D394" s="12" t="inlineStr">
        <is>
          <t>Dinamarca</t>
        </is>
      </c>
      <c r="E394" s="8" t="n"/>
      <c r="F394" s="8" t="n"/>
      <c r="G394" s="8">
        <f>IF(OR(ISBLANK(E394),ISBLANK(F394)),"",IF(E394&gt;F394,"Local",IF(E394=F394,"Empate","Visitante")))</f>
        <v/>
      </c>
      <c r="H394" s="8">
        <f>IF(VLOOKUP(B394,PARTIDOS!$A:$I,9,FALSE)="Cerrado",IF(G394=VLOOKUP(B394,PARTIDOS!$A:$I,8,FALSE),IF(AND(E394=VLOOKUP(B394,PARTIDOS!$A:$I,6,FALSE),F394=VLOOKUP(B394,PARTIDOS!$A:$I,7,FALSE)),3,1),0),"")</f>
        <v/>
      </c>
    </row>
    <row r="395" ht="20.1" customHeight="1">
      <c r="A395" s="12" t="inlineStr">
        <is>
          <t>Jugador 6</t>
        </is>
      </c>
      <c r="B395" s="8" t="inlineStr">
        <is>
          <t>M34</t>
        </is>
      </c>
      <c r="C395" s="12" t="inlineStr">
        <is>
          <t>Suiza</t>
        </is>
      </c>
      <c r="D395" s="12" t="inlineStr">
        <is>
          <t>Serbia</t>
        </is>
      </c>
      <c r="E395" s="8" t="n"/>
      <c r="F395" s="8" t="n"/>
      <c r="G395" s="8">
        <f>IF(OR(ISBLANK(E395),ISBLANK(F395)),"",IF(E395&gt;F395,"Local",IF(E395=F395,"Empate","Visitante")))</f>
        <v/>
      </c>
      <c r="H395" s="8">
        <f>IF(VLOOKUP(B395,PARTIDOS!$A:$I,9,FALSE)="Cerrado",IF(G395=VLOOKUP(B395,PARTIDOS!$A:$I,8,FALSE),IF(AND(E395=VLOOKUP(B395,PARTIDOS!$A:$I,6,FALSE),F395=VLOOKUP(B395,PARTIDOS!$A:$I,7,FALSE)),3,1),0),"")</f>
        <v/>
      </c>
    </row>
    <row r="396" ht="20.1" customHeight="1">
      <c r="A396" s="12" t="inlineStr">
        <is>
          <t>Jugador 6</t>
        </is>
      </c>
      <c r="B396" s="8" t="inlineStr">
        <is>
          <t>M35</t>
        </is>
      </c>
      <c r="C396" s="12" t="inlineStr">
        <is>
          <t>Croacia</t>
        </is>
      </c>
      <c r="D396" s="12" t="inlineStr">
        <is>
          <t>Serbia</t>
        </is>
      </c>
      <c r="E396" s="8" t="n"/>
      <c r="F396" s="8" t="n"/>
      <c r="G396" s="8">
        <f>IF(OR(ISBLANK(E396),ISBLANK(F396)),"",IF(E396&gt;F396,"Local",IF(E396=F396,"Empate","Visitante")))</f>
        <v/>
      </c>
      <c r="H396" s="8">
        <f>IF(VLOOKUP(B396,PARTIDOS!$A:$I,9,FALSE)="Cerrado",IF(G396=VLOOKUP(B396,PARTIDOS!$A:$I,8,FALSE),IF(AND(E396=VLOOKUP(B396,PARTIDOS!$A:$I,6,FALSE),F396=VLOOKUP(B396,PARTIDOS!$A:$I,7,FALSE)),3,1),0),"")</f>
        <v/>
      </c>
    </row>
    <row r="397" ht="20.1" customHeight="1">
      <c r="A397" s="12" t="inlineStr">
        <is>
          <t>Jugador 6</t>
        </is>
      </c>
      <c r="B397" s="8" t="inlineStr">
        <is>
          <t>M36</t>
        </is>
      </c>
      <c r="C397" s="12" t="inlineStr">
        <is>
          <t>Suiza</t>
        </is>
      </c>
      <c r="D397" s="12" t="inlineStr">
        <is>
          <t>Dinamarca</t>
        </is>
      </c>
      <c r="E397" s="8" t="n"/>
      <c r="F397" s="8" t="n"/>
      <c r="G397" s="8">
        <f>IF(OR(ISBLANK(E397),ISBLANK(F397)),"",IF(E397&gt;F397,"Local",IF(E397=F397,"Empate","Visitante")))</f>
        <v/>
      </c>
      <c r="H397" s="8">
        <f>IF(VLOOKUP(B397,PARTIDOS!$A:$I,9,FALSE)="Cerrado",IF(G397=VLOOKUP(B397,PARTIDOS!$A:$I,8,FALSE),IF(AND(E397=VLOOKUP(B397,PARTIDOS!$A:$I,6,FALSE),F397=VLOOKUP(B397,PARTIDOS!$A:$I,7,FALSE)),3,1),0),"")</f>
        <v/>
      </c>
    </row>
    <row r="398" ht="20.1" customHeight="1">
      <c r="A398" s="12" t="inlineStr">
        <is>
          <t>Jugador 6</t>
        </is>
      </c>
      <c r="B398" s="8" t="inlineStr">
        <is>
          <t>M37</t>
        </is>
      </c>
      <c r="C398" s="12" t="inlineStr">
        <is>
          <t>Polonia</t>
        </is>
      </c>
      <c r="D398" s="12" t="inlineStr">
        <is>
          <t>Ucrania</t>
        </is>
      </c>
      <c r="E398" s="8" t="n"/>
      <c r="F398" s="8" t="n"/>
      <c r="G398" s="8">
        <f>IF(OR(ISBLANK(E398),ISBLANK(F398)),"",IF(E398&gt;F398,"Local",IF(E398=F398,"Empate","Visitante")))</f>
        <v/>
      </c>
      <c r="H398" s="8">
        <f>IF(VLOOKUP(B398,PARTIDOS!$A:$I,9,FALSE)="Cerrado",IF(G398=VLOOKUP(B398,PARTIDOS!$A:$I,8,FALSE),IF(AND(E398=VLOOKUP(B398,PARTIDOS!$A:$I,6,FALSE),F398=VLOOKUP(B398,PARTIDOS!$A:$I,7,FALSE)),3,1),0),"")</f>
        <v/>
      </c>
    </row>
    <row r="399" ht="20.1" customHeight="1">
      <c r="A399" s="12" t="inlineStr">
        <is>
          <t>Jugador 6</t>
        </is>
      </c>
      <c r="B399" s="8" t="inlineStr">
        <is>
          <t>M38</t>
        </is>
      </c>
      <c r="C399" s="12" t="inlineStr">
        <is>
          <t>Suecia</t>
        </is>
      </c>
      <c r="D399" s="12" t="inlineStr">
        <is>
          <t>Gales</t>
        </is>
      </c>
      <c r="E399" s="8" t="n"/>
      <c r="F399" s="8" t="n"/>
      <c r="G399" s="8">
        <f>IF(OR(ISBLANK(E399),ISBLANK(F399)),"",IF(E399&gt;F399,"Local",IF(E399=F399,"Empate","Visitante")))</f>
        <v/>
      </c>
      <c r="H399" s="8">
        <f>IF(VLOOKUP(B399,PARTIDOS!$A:$I,9,FALSE)="Cerrado",IF(G399=VLOOKUP(B399,PARTIDOS!$A:$I,8,FALSE),IF(AND(E399=VLOOKUP(B399,PARTIDOS!$A:$I,6,FALSE),F399=VLOOKUP(B399,PARTIDOS!$A:$I,7,FALSE)),3,1),0),"")</f>
        <v/>
      </c>
    </row>
    <row r="400" ht="20.1" customHeight="1">
      <c r="A400" s="12" t="inlineStr">
        <is>
          <t>Jugador 6</t>
        </is>
      </c>
      <c r="B400" s="8" t="inlineStr">
        <is>
          <t>M39</t>
        </is>
      </c>
      <c r="C400" s="12" t="inlineStr">
        <is>
          <t>Polonia</t>
        </is>
      </c>
      <c r="D400" s="12" t="inlineStr">
        <is>
          <t>Suecia</t>
        </is>
      </c>
      <c r="E400" s="8" t="n"/>
      <c r="F400" s="8" t="n"/>
      <c r="G400" s="8">
        <f>IF(OR(ISBLANK(E400),ISBLANK(F400)),"",IF(E400&gt;F400,"Local",IF(E400=F400,"Empate","Visitante")))</f>
        <v/>
      </c>
      <c r="H400" s="8">
        <f>IF(VLOOKUP(B400,PARTIDOS!$A:$I,9,FALSE)="Cerrado",IF(G400=VLOOKUP(B400,PARTIDOS!$A:$I,8,FALSE),IF(AND(E400=VLOOKUP(B400,PARTIDOS!$A:$I,6,FALSE),F400=VLOOKUP(B400,PARTIDOS!$A:$I,7,FALSE)),3,1),0),"")</f>
        <v/>
      </c>
    </row>
    <row r="401" ht="20.1" customHeight="1">
      <c r="A401" s="12" t="inlineStr">
        <is>
          <t>Jugador 6</t>
        </is>
      </c>
      <c r="B401" s="8" t="inlineStr">
        <is>
          <t>M40</t>
        </is>
      </c>
      <c r="C401" s="12" t="inlineStr">
        <is>
          <t>Ucrania</t>
        </is>
      </c>
      <c r="D401" s="12" t="inlineStr">
        <is>
          <t>Gales</t>
        </is>
      </c>
      <c r="E401" s="8" t="n"/>
      <c r="F401" s="8" t="n"/>
      <c r="G401" s="8">
        <f>IF(OR(ISBLANK(E401),ISBLANK(F401)),"",IF(E401&gt;F401,"Local",IF(E401=F401,"Empate","Visitante")))</f>
        <v/>
      </c>
      <c r="H401" s="8">
        <f>IF(VLOOKUP(B401,PARTIDOS!$A:$I,9,FALSE)="Cerrado",IF(G401=VLOOKUP(B401,PARTIDOS!$A:$I,8,FALSE),IF(AND(E401=VLOOKUP(B401,PARTIDOS!$A:$I,6,FALSE),F401=VLOOKUP(B401,PARTIDOS!$A:$I,7,FALSE)),3,1),0),"")</f>
        <v/>
      </c>
    </row>
    <row r="402" ht="20.1" customHeight="1">
      <c r="A402" s="12" t="inlineStr">
        <is>
          <t>Jugador 6</t>
        </is>
      </c>
      <c r="B402" s="8" t="inlineStr">
        <is>
          <t>M41</t>
        </is>
      </c>
      <c r="C402" s="12" t="inlineStr">
        <is>
          <t>Polonia</t>
        </is>
      </c>
      <c r="D402" s="12" t="inlineStr">
        <is>
          <t>Gales</t>
        </is>
      </c>
      <c r="E402" s="8" t="n"/>
      <c r="F402" s="8" t="n"/>
      <c r="G402" s="8">
        <f>IF(OR(ISBLANK(E402),ISBLANK(F402)),"",IF(E402&gt;F402,"Local",IF(E402=F402,"Empate","Visitante")))</f>
        <v/>
      </c>
      <c r="H402" s="8">
        <f>IF(VLOOKUP(B402,PARTIDOS!$A:$I,9,FALSE)="Cerrado",IF(G402=VLOOKUP(B402,PARTIDOS!$A:$I,8,FALSE),IF(AND(E402=VLOOKUP(B402,PARTIDOS!$A:$I,6,FALSE),F402=VLOOKUP(B402,PARTIDOS!$A:$I,7,FALSE)),3,1),0),"")</f>
        <v/>
      </c>
    </row>
    <row r="403" ht="20.1" customHeight="1">
      <c r="A403" s="12" t="inlineStr">
        <is>
          <t>Jugador 6</t>
        </is>
      </c>
      <c r="B403" s="8" t="inlineStr">
        <is>
          <t>M42</t>
        </is>
      </c>
      <c r="C403" s="12" t="inlineStr">
        <is>
          <t>Ucrania</t>
        </is>
      </c>
      <c r="D403" s="12" t="inlineStr">
        <is>
          <t>Suecia</t>
        </is>
      </c>
      <c r="E403" s="8" t="n"/>
      <c r="F403" s="8" t="n"/>
      <c r="G403" s="8">
        <f>IF(OR(ISBLANK(E403),ISBLANK(F403)),"",IF(E403&gt;F403,"Local",IF(E403=F403,"Empate","Visitante")))</f>
        <v/>
      </c>
      <c r="H403" s="8">
        <f>IF(VLOOKUP(B403,PARTIDOS!$A:$I,9,FALSE)="Cerrado",IF(G403=VLOOKUP(B403,PARTIDOS!$A:$I,8,FALSE),IF(AND(E403=VLOOKUP(B403,PARTIDOS!$A:$I,6,FALSE),F403=VLOOKUP(B403,PARTIDOS!$A:$I,7,FALSE)),3,1),0),"")</f>
        <v/>
      </c>
    </row>
    <row r="404" ht="20.1" customHeight="1">
      <c r="A404" s="12" t="inlineStr">
        <is>
          <t>Jugador 6</t>
        </is>
      </c>
      <c r="B404" s="8" t="inlineStr">
        <is>
          <t>M43</t>
        </is>
      </c>
      <c r="C404" s="12" t="inlineStr">
        <is>
          <t>Austria</t>
        </is>
      </c>
      <c r="D404" s="12" t="inlineStr">
        <is>
          <t>Hungría</t>
        </is>
      </c>
      <c r="E404" s="8" t="n"/>
      <c r="F404" s="8" t="n"/>
      <c r="G404" s="8">
        <f>IF(OR(ISBLANK(E404),ISBLANK(F404)),"",IF(E404&gt;F404,"Local",IF(E404=F404,"Empate","Visitante")))</f>
        <v/>
      </c>
      <c r="H404" s="8">
        <f>IF(VLOOKUP(B404,PARTIDOS!$A:$I,9,FALSE)="Cerrado",IF(G404=VLOOKUP(B404,PARTIDOS!$A:$I,8,FALSE),IF(AND(E404=VLOOKUP(B404,PARTIDOS!$A:$I,6,FALSE),F404=VLOOKUP(B404,PARTIDOS!$A:$I,7,FALSE)),3,1),0),"")</f>
        <v/>
      </c>
    </row>
    <row r="405" ht="20.1" customHeight="1">
      <c r="A405" s="12" t="inlineStr">
        <is>
          <t>Jugador 6</t>
        </is>
      </c>
      <c r="B405" s="8" t="inlineStr">
        <is>
          <t>M44</t>
        </is>
      </c>
      <c r="C405" s="12" t="inlineStr">
        <is>
          <t>Turquía</t>
        </is>
      </c>
      <c r="D405" s="12" t="inlineStr">
        <is>
          <t>Escocia</t>
        </is>
      </c>
      <c r="E405" s="8" t="n"/>
      <c r="F405" s="8" t="n"/>
      <c r="G405" s="8">
        <f>IF(OR(ISBLANK(E405),ISBLANK(F405)),"",IF(E405&gt;F405,"Local",IF(E405=F405,"Empate","Visitante")))</f>
        <v/>
      </c>
      <c r="H405" s="8">
        <f>IF(VLOOKUP(B405,PARTIDOS!$A:$I,9,FALSE)="Cerrado",IF(G405=VLOOKUP(B405,PARTIDOS!$A:$I,8,FALSE),IF(AND(E405=VLOOKUP(B405,PARTIDOS!$A:$I,6,FALSE),F405=VLOOKUP(B405,PARTIDOS!$A:$I,7,FALSE)),3,1),0),"")</f>
        <v/>
      </c>
    </row>
    <row r="406" ht="20.1" customHeight="1">
      <c r="A406" s="12" t="inlineStr">
        <is>
          <t>Jugador 6</t>
        </is>
      </c>
      <c r="B406" s="8" t="inlineStr">
        <is>
          <t>M45</t>
        </is>
      </c>
      <c r="C406" s="12" t="inlineStr">
        <is>
          <t>Austria</t>
        </is>
      </c>
      <c r="D406" s="12" t="inlineStr">
        <is>
          <t>Turquía</t>
        </is>
      </c>
      <c r="E406" s="8" t="n"/>
      <c r="F406" s="8" t="n"/>
      <c r="G406" s="8">
        <f>IF(OR(ISBLANK(E406),ISBLANK(F406)),"",IF(E406&gt;F406,"Local",IF(E406=F406,"Empate","Visitante")))</f>
        <v/>
      </c>
      <c r="H406" s="8">
        <f>IF(VLOOKUP(B406,PARTIDOS!$A:$I,9,FALSE)="Cerrado",IF(G406=VLOOKUP(B406,PARTIDOS!$A:$I,8,FALSE),IF(AND(E406=VLOOKUP(B406,PARTIDOS!$A:$I,6,FALSE),F406=VLOOKUP(B406,PARTIDOS!$A:$I,7,FALSE)),3,1),0),"")</f>
        <v/>
      </c>
    </row>
    <row r="407" ht="20.1" customHeight="1">
      <c r="A407" s="12" t="inlineStr">
        <is>
          <t>Jugador 6</t>
        </is>
      </c>
      <c r="B407" s="8" t="inlineStr">
        <is>
          <t>M46</t>
        </is>
      </c>
      <c r="C407" s="12" t="inlineStr">
        <is>
          <t>Hungría</t>
        </is>
      </c>
      <c r="D407" s="12" t="inlineStr">
        <is>
          <t>Escocia</t>
        </is>
      </c>
      <c r="E407" s="8" t="n"/>
      <c r="F407" s="8" t="n"/>
      <c r="G407" s="8">
        <f>IF(OR(ISBLANK(E407),ISBLANK(F407)),"",IF(E407&gt;F407,"Local",IF(E407=F407,"Empate","Visitante")))</f>
        <v/>
      </c>
      <c r="H407" s="8">
        <f>IF(VLOOKUP(B407,PARTIDOS!$A:$I,9,FALSE)="Cerrado",IF(G407=VLOOKUP(B407,PARTIDOS!$A:$I,8,FALSE),IF(AND(E407=VLOOKUP(B407,PARTIDOS!$A:$I,6,FALSE),F407=VLOOKUP(B407,PARTIDOS!$A:$I,7,FALSE)),3,1),0),"")</f>
        <v/>
      </c>
    </row>
    <row r="408" ht="20.1" customHeight="1">
      <c r="A408" s="12" t="inlineStr">
        <is>
          <t>Jugador 6</t>
        </is>
      </c>
      <c r="B408" s="8" t="inlineStr">
        <is>
          <t>M47</t>
        </is>
      </c>
      <c r="C408" s="12" t="inlineStr">
        <is>
          <t>Austria</t>
        </is>
      </c>
      <c r="D408" s="12" t="inlineStr">
        <is>
          <t>Escocia</t>
        </is>
      </c>
      <c r="E408" s="8" t="n"/>
      <c r="F408" s="8" t="n"/>
      <c r="G408" s="8">
        <f>IF(OR(ISBLANK(E408),ISBLANK(F408)),"",IF(E408&gt;F408,"Local",IF(E408=F408,"Empate","Visitante")))</f>
        <v/>
      </c>
      <c r="H408" s="8">
        <f>IF(VLOOKUP(B408,PARTIDOS!$A:$I,9,FALSE)="Cerrado",IF(G408=VLOOKUP(B408,PARTIDOS!$A:$I,8,FALSE),IF(AND(E408=VLOOKUP(B408,PARTIDOS!$A:$I,6,FALSE),F408=VLOOKUP(B408,PARTIDOS!$A:$I,7,FALSE)),3,1),0),"")</f>
        <v/>
      </c>
    </row>
    <row r="409" ht="20.1" customHeight="1">
      <c r="A409" s="12" t="inlineStr">
        <is>
          <t>Jugador 6</t>
        </is>
      </c>
      <c r="B409" s="8" t="inlineStr">
        <is>
          <t>M48</t>
        </is>
      </c>
      <c r="C409" s="12" t="inlineStr">
        <is>
          <t>Hungría</t>
        </is>
      </c>
      <c r="D409" s="12" t="inlineStr">
        <is>
          <t>Turquía</t>
        </is>
      </c>
      <c r="E409" s="8" t="n"/>
      <c r="F409" s="8" t="n"/>
      <c r="G409" s="8">
        <f>IF(OR(ISBLANK(E409),ISBLANK(F409)),"",IF(E409&gt;F409,"Local",IF(E409=F409,"Empate","Visitante")))</f>
        <v/>
      </c>
      <c r="H409" s="8">
        <f>IF(VLOOKUP(B409,PARTIDOS!$A:$I,9,FALSE)="Cerrado",IF(G409=VLOOKUP(B409,PARTIDOS!$A:$I,8,FALSE),IF(AND(E409=VLOOKUP(B409,PARTIDOS!$A:$I,6,FALSE),F409=VLOOKUP(B409,PARTIDOS!$A:$I,7,FALSE)),3,1),0),"")</f>
        <v/>
      </c>
    </row>
    <row r="410" ht="20.1" customHeight="1">
      <c r="A410" s="12" t="inlineStr">
        <is>
          <t>Jugador 6</t>
        </is>
      </c>
      <c r="B410" s="8" t="inlineStr">
        <is>
          <t>M49</t>
        </is>
      </c>
      <c r="C410" s="12" t="inlineStr">
        <is>
          <t>República Checa</t>
        </is>
      </c>
      <c r="D410" s="12" t="inlineStr">
        <is>
          <t>Noruega</t>
        </is>
      </c>
      <c r="E410" s="8" t="n"/>
      <c r="F410" s="8" t="n"/>
      <c r="G410" s="8">
        <f>IF(OR(ISBLANK(E410),ISBLANK(F410)),"",IF(E410&gt;F410,"Local",IF(E410=F410,"Empate","Visitante")))</f>
        <v/>
      </c>
      <c r="H410" s="8">
        <f>IF(VLOOKUP(B410,PARTIDOS!$A:$I,9,FALSE)="Cerrado",IF(G410=VLOOKUP(B410,PARTIDOS!$A:$I,8,FALSE),IF(AND(E410=VLOOKUP(B410,PARTIDOS!$A:$I,6,FALSE),F410=VLOOKUP(B410,PARTIDOS!$A:$I,7,FALSE)),3,1),0),"")</f>
        <v/>
      </c>
    </row>
    <row r="411" ht="20.1" customHeight="1">
      <c r="A411" s="12" t="inlineStr">
        <is>
          <t>Jugador 6</t>
        </is>
      </c>
      <c r="B411" s="8" t="inlineStr">
        <is>
          <t>M50</t>
        </is>
      </c>
      <c r="C411" s="12" t="inlineStr">
        <is>
          <t>Japón</t>
        </is>
      </c>
      <c r="D411" s="12" t="inlineStr">
        <is>
          <t>Irán</t>
        </is>
      </c>
      <c r="E411" s="8" t="n"/>
      <c r="F411" s="8" t="n"/>
      <c r="G411" s="8">
        <f>IF(OR(ISBLANK(E411),ISBLANK(F411)),"",IF(E411&gt;F411,"Local",IF(E411=F411,"Empate","Visitante")))</f>
        <v/>
      </c>
      <c r="H411" s="8">
        <f>IF(VLOOKUP(B411,PARTIDOS!$A:$I,9,FALSE)="Cerrado",IF(G411=VLOOKUP(B411,PARTIDOS!$A:$I,8,FALSE),IF(AND(E411=VLOOKUP(B411,PARTIDOS!$A:$I,6,FALSE),F411=VLOOKUP(B411,PARTIDOS!$A:$I,7,FALSE)),3,1),0),"")</f>
        <v/>
      </c>
    </row>
    <row r="412" ht="20.1" customHeight="1">
      <c r="A412" s="12" t="inlineStr">
        <is>
          <t>Jugador 6</t>
        </is>
      </c>
      <c r="B412" s="8" t="inlineStr">
        <is>
          <t>M51</t>
        </is>
      </c>
      <c r="C412" s="12" t="inlineStr">
        <is>
          <t>República Checa</t>
        </is>
      </c>
      <c r="D412" s="12" t="inlineStr">
        <is>
          <t>Japón</t>
        </is>
      </c>
      <c r="E412" s="8" t="n"/>
      <c r="F412" s="8" t="n"/>
      <c r="G412" s="8">
        <f>IF(OR(ISBLANK(E412),ISBLANK(F412)),"",IF(E412&gt;F412,"Local",IF(E412=F412,"Empate","Visitante")))</f>
        <v/>
      </c>
      <c r="H412" s="8">
        <f>IF(VLOOKUP(B412,PARTIDOS!$A:$I,9,FALSE)="Cerrado",IF(G412=VLOOKUP(B412,PARTIDOS!$A:$I,8,FALSE),IF(AND(E412=VLOOKUP(B412,PARTIDOS!$A:$I,6,FALSE),F412=VLOOKUP(B412,PARTIDOS!$A:$I,7,FALSE)),3,1),0),"")</f>
        <v/>
      </c>
    </row>
    <row r="413" ht="20.1" customHeight="1">
      <c r="A413" s="12" t="inlineStr">
        <is>
          <t>Jugador 6</t>
        </is>
      </c>
      <c r="B413" s="8" t="inlineStr">
        <is>
          <t>M52</t>
        </is>
      </c>
      <c r="C413" s="12" t="inlineStr">
        <is>
          <t>Noruega</t>
        </is>
      </c>
      <c r="D413" s="12" t="inlineStr">
        <is>
          <t>Irán</t>
        </is>
      </c>
      <c r="E413" s="8" t="n"/>
      <c r="F413" s="8" t="n"/>
      <c r="G413" s="8">
        <f>IF(OR(ISBLANK(E413),ISBLANK(F413)),"",IF(E413&gt;F413,"Local",IF(E413=F413,"Empate","Visitante")))</f>
        <v/>
      </c>
      <c r="H413" s="8">
        <f>IF(VLOOKUP(B413,PARTIDOS!$A:$I,9,FALSE)="Cerrado",IF(G413=VLOOKUP(B413,PARTIDOS!$A:$I,8,FALSE),IF(AND(E413=VLOOKUP(B413,PARTIDOS!$A:$I,6,FALSE),F413=VLOOKUP(B413,PARTIDOS!$A:$I,7,FALSE)),3,1),0),"")</f>
        <v/>
      </c>
    </row>
    <row r="414" ht="20.1" customHeight="1">
      <c r="A414" s="12" t="inlineStr">
        <is>
          <t>Jugador 6</t>
        </is>
      </c>
      <c r="B414" s="8" t="inlineStr">
        <is>
          <t>M53</t>
        </is>
      </c>
      <c r="C414" s="12" t="inlineStr">
        <is>
          <t>República Checa</t>
        </is>
      </c>
      <c r="D414" s="12" t="inlineStr">
        <is>
          <t>Irán</t>
        </is>
      </c>
      <c r="E414" s="8" t="n"/>
      <c r="F414" s="8" t="n"/>
      <c r="G414" s="8">
        <f>IF(OR(ISBLANK(E414),ISBLANK(F414)),"",IF(E414&gt;F414,"Local",IF(E414=F414,"Empate","Visitante")))</f>
        <v/>
      </c>
      <c r="H414" s="8">
        <f>IF(VLOOKUP(B414,PARTIDOS!$A:$I,9,FALSE)="Cerrado",IF(G414=VLOOKUP(B414,PARTIDOS!$A:$I,8,FALSE),IF(AND(E414=VLOOKUP(B414,PARTIDOS!$A:$I,6,FALSE),F414=VLOOKUP(B414,PARTIDOS!$A:$I,7,FALSE)),3,1),0),"")</f>
        <v/>
      </c>
    </row>
    <row r="415" ht="20.1" customHeight="1">
      <c r="A415" s="12" t="inlineStr">
        <is>
          <t>Jugador 6</t>
        </is>
      </c>
      <c r="B415" s="8" t="inlineStr">
        <is>
          <t>M54</t>
        </is>
      </c>
      <c r="C415" s="12" t="inlineStr">
        <is>
          <t>Noruega</t>
        </is>
      </c>
      <c r="D415" s="12" t="inlineStr">
        <is>
          <t>Japón</t>
        </is>
      </c>
      <c r="E415" s="8" t="n"/>
      <c r="F415" s="8" t="n"/>
      <c r="G415" s="8">
        <f>IF(OR(ISBLANK(E415),ISBLANK(F415)),"",IF(E415&gt;F415,"Local",IF(E415=F415,"Empate","Visitante")))</f>
        <v/>
      </c>
      <c r="H415" s="8">
        <f>IF(VLOOKUP(B415,PARTIDOS!$A:$I,9,FALSE)="Cerrado",IF(G415=VLOOKUP(B415,PARTIDOS!$A:$I,8,FALSE),IF(AND(E415=VLOOKUP(B415,PARTIDOS!$A:$I,6,FALSE),F415=VLOOKUP(B415,PARTIDOS!$A:$I,7,FALSE)),3,1),0),"")</f>
        <v/>
      </c>
    </row>
    <row r="416" ht="20.1" customHeight="1">
      <c r="A416" s="12" t="inlineStr">
        <is>
          <t>Jugador 6</t>
        </is>
      </c>
      <c r="B416" s="8" t="inlineStr">
        <is>
          <t>M55</t>
        </is>
      </c>
      <c r="C416" s="12" t="inlineStr">
        <is>
          <t>Corea del Sur</t>
        </is>
      </c>
      <c r="D416" s="12" t="inlineStr">
        <is>
          <t>Australia</t>
        </is>
      </c>
      <c r="E416" s="8" t="n"/>
      <c r="F416" s="8" t="n"/>
      <c r="G416" s="8">
        <f>IF(OR(ISBLANK(E416),ISBLANK(F416)),"",IF(E416&gt;F416,"Local",IF(E416=F416,"Empate","Visitante")))</f>
        <v/>
      </c>
      <c r="H416" s="8">
        <f>IF(VLOOKUP(B416,PARTIDOS!$A:$I,9,FALSE)="Cerrado",IF(G416=VLOOKUP(B416,PARTIDOS!$A:$I,8,FALSE),IF(AND(E416=VLOOKUP(B416,PARTIDOS!$A:$I,6,FALSE),F416=VLOOKUP(B416,PARTIDOS!$A:$I,7,FALSE)),3,1),0),"")</f>
        <v/>
      </c>
    </row>
    <row r="417" ht="20.1" customHeight="1">
      <c r="A417" s="12" t="inlineStr">
        <is>
          <t>Jugador 6</t>
        </is>
      </c>
      <c r="B417" s="8" t="inlineStr">
        <is>
          <t>M56</t>
        </is>
      </c>
      <c r="C417" s="12" t="inlineStr">
        <is>
          <t>Marruecos</t>
        </is>
      </c>
      <c r="D417" s="12" t="inlineStr">
        <is>
          <t>Senegal</t>
        </is>
      </c>
      <c r="E417" s="8" t="n"/>
      <c r="F417" s="8" t="n"/>
      <c r="G417" s="8">
        <f>IF(OR(ISBLANK(E417),ISBLANK(F417)),"",IF(E417&gt;F417,"Local",IF(E417=F417,"Empate","Visitante")))</f>
        <v/>
      </c>
      <c r="H417" s="8">
        <f>IF(VLOOKUP(B417,PARTIDOS!$A:$I,9,FALSE)="Cerrado",IF(G417=VLOOKUP(B417,PARTIDOS!$A:$I,8,FALSE),IF(AND(E417=VLOOKUP(B417,PARTIDOS!$A:$I,6,FALSE),F417=VLOOKUP(B417,PARTIDOS!$A:$I,7,FALSE)),3,1),0),"")</f>
        <v/>
      </c>
    </row>
    <row r="418" ht="20.1" customHeight="1">
      <c r="A418" s="12" t="inlineStr">
        <is>
          <t>Jugador 6</t>
        </is>
      </c>
      <c r="B418" s="8" t="inlineStr">
        <is>
          <t>M57</t>
        </is>
      </c>
      <c r="C418" s="12" t="inlineStr">
        <is>
          <t>Corea del Sur</t>
        </is>
      </c>
      <c r="D418" s="12" t="inlineStr">
        <is>
          <t>Marruecos</t>
        </is>
      </c>
      <c r="E418" s="8" t="n"/>
      <c r="F418" s="8" t="n"/>
      <c r="G418" s="8">
        <f>IF(OR(ISBLANK(E418),ISBLANK(F418)),"",IF(E418&gt;F418,"Local",IF(E418=F418,"Empate","Visitante")))</f>
        <v/>
      </c>
      <c r="H418" s="8">
        <f>IF(VLOOKUP(B418,PARTIDOS!$A:$I,9,FALSE)="Cerrado",IF(G418=VLOOKUP(B418,PARTIDOS!$A:$I,8,FALSE),IF(AND(E418=VLOOKUP(B418,PARTIDOS!$A:$I,6,FALSE),F418=VLOOKUP(B418,PARTIDOS!$A:$I,7,FALSE)),3,1),0),"")</f>
        <v/>
      </c>
    </row>
    <row r="419" ht="20.1" customHeight="1">
      <c r="A419" s="12" t="inlineStr">
        <is>
          <t>Jugador 6</t>
        </is>
      </c>
      <c r="B419" s="8" t="inlineStr">
        <is>
          <t>M58</t>
        </is>
      </c>
      <c r="C419" s="12" t="inlineStr">
        <is>
          <t>Australia</t>
        </is>
      </c>
      <c r="D419" s="12" t="inlineStr">
        <is>
          <t>Senegal</t>
        </is>
      </c>
      <c r="E419" s="8" t="n"/>
      <c r="F419" s="8" t="n"/>
      <c r="G419" s="8">
        <f>IF(OR(ISBLANK(E419),ISBLANK(F419)),"",IF(E419&gt;F419,"Local",IF(E419=F419,"Empate","Visitante")))</f>
        <v/>
      </c>
      <c r="H419" s="8">
        <f>IF(VLOOKUP(B419,PARTIDOS!$A:$I,9,FALSE)="Cerrado",IF(G419=VLOOKUP(B419,PARTIDOS!$A:$I,8,FALSE),IF(AND(E419=VLOOKUP(B419,PARTIDOS!$A:$I,6,FALSE),F419=VLOOKUP(B419,PARTIDOS!$A:$I,7,FALSE)),3,1),0),"")</f>
        <v/>
      </c>
    </row>
    <row r="420" ht="20.1" customHeight="1">
      <c r="A420" s="12" t="inlineStr">
        <is>
          <t>Jugador 6</t>
        </is>
      </c>
      <c r="B420" s="8" t="inlineStr">
        <is>
          <t>M59</t>
        </is>
      </c>
      <c r="C420" s="12" t="inlineStr">
        <is>
          <t>Corea del Sur</t>
        </is>
      </c>
      <c r="D420" s="12" t="inlineStr">
        <is>
          <t>Senegal</t>
        </is>
      </c>
      <c r="E420" s="8" t="n"/>
      <c r="F420" s="8" t="n"/>
      <c r="G420" s="8">
        <f>IF(OR(ISBLANK(E420),ISBLANK(F420)),"",IF(E420&gt;F420,"Local",IF(E420=F420,"Empate","Visitante")))</f>
        <v/>
      </c>
      <c r="H420" s="8">
        <f>IF(VLOOKUP(B420,PARTIDOS!$A:$I,9,FALSE)="Cerrado",IF(G420=VLOOKUP(B420,PARTIDOS!$A:$I,8,FALSE),IF(AND(E420=VLOOKUP(B420,PARTIDOS!$A:$I,6,FALSE),F420=VLOOKUP(B420,PARTIDOS!$A:$I,7,FALSE)),3,1),0),"")</f>
        <v/>
      </c>
    </row>
    <row r="421" ht="20.1" customHeight="1">
      <c r="A421" s="12" t="inlineStr">
        <is>
          <t>Jugador 6</t>
        </is>
      </c>
      <c r="B421" s="8" t="inlineStr">
        <is>
          <t>M60</t>
        </is>
      </c>
      <c r="C421" s="12" t="inlineStr">
        <is>
          <t>Australia</t>
        </is>
      </c>
      <c r="D421" s="12" t="inlineStr">
        <is>
          <t>Marruecos</t>
        </is>
      </c>
      <c r="E421" s="8" t="n"/>
      <c r="F421" s="8" t="n"/>
      <c r="G421" s="8">
        <f>IF(OR(ISBLANK(E421),ISBLANK(F421)),"",IF(E421&gt;F421,"Local",IF(E421=F421,"Empate","Visitante")))</f>
        <v/>
      </c>
      <c r="H421" s="8">
        <f>IF(VLOOKUP(B421,PARTIDOS!$A:$I,9,FALSE)="Cerrado",IF(G421=VLOOKUP(B421,PARTIDOS!$A:$I,8,FALSE),IF(AND(E421=VLOOKUP(B421,PARTIDOS!$A:$I,6,FALSE),F421=VLOOKUP(B421,PARTIDOS!$A:$I,7,FALSE)),3,1),0),"")</f>
        <v/>
      </c>
    </row>
    <row r="422" ht="20.1" customHeight="1">
      <c r="A422" s="12" t="inlineStr">
        <is>
          <t>Jugador 6</t>
        </is>
      </c>
      <c r="B422" s="8" t="inlineStr">
        <is>
          <t>M61</t>
        </is>
      </c>
      <c r="C422" s="12" t="inlineStr">
        <is>
          <t>Túnez</t>
        </is>
      </c>
      <c r="D422" s="12" t="inlineStr">
        <is>
          <t>Nigeria</t>
        </is>
      </c>
      <c r="E422" s="8" t="n"/>
      <c r="F422" s="8" t="n"/>
      <c r="G422" s="8">
        <f>IF(OR(ISBLANK(E422),ISBLANK(F422)),"",IF(E422&gt;F422,"Local",IF(E422=F422,"Empate","Visitante")))</f>
        <v/>
      </c>
      <c r="H422" s="8">
        <f>IF(VLOOKUP(B422,PARTIDOS!$A:$I,9,FALSE)="Cerrado",IF(G422=VLOOKUP(B422,PARTIDOS!$A:$I,8,FALSE),IF(AND(E422=VLOOKUP(B422,PARTIDOS!$A:$I,6,FALSE),F422=VLOOKUP(B422,PARTIDOS!$A:$I,7,FALSE)),3,1),0),"")</f>
        <v/>
      </c>
    </row>
    <row r="423" ht="20.1" customHeight="1">
      <c r="A423" s="12" t="inlineStr">
        <is>
          <t>Jugador 6</t>
        </is>
      </c>
      <c r="B423" s="8" t="inlineStr">
        <is>
          <t>M62</t>
        </is>
      </c>
      <c r="C423" s="12" t="inlineStr">
        <is>
          <t>Camerún</t>
        </is>
      </c>
      <c r="D423" s="12" t="inlineStr">
        <is>
          <t>Egipto</t>
        </is>
      </c>
      <c r="E423" s="8" t="n"/>
      <c r="F423" s="8" t="n"/>
      <c r="G423" s="8">
        <f>IF(OR(ISBLANK(E423),ISBLANK(F423)),"",IF(E423&gt;F423,"Local",IF(E423=F423,"Empate","Visitante")))</f>
        <v/>
      </c>
      <c r="H423" s="8">
        <f>IF(VLOOKUP(B423,PARTIDOS!$A:$I,9,FALSE)="Cerrado",IF(G423=VLOOKUP(B423,PARTIDOS!$A:$I,8,FALSE),IF(AND(E423=VLOOKUP(B423,PARTIDOS!$A:$I,6,FALSE),F423=VLOOKUP(B423,PARTIDOS!$A:$I,7,FALSE)),3,1),0),"")</f>
        <v/>
      </c>
    </row>
    <row r="424" ht="20.1" customHeight="1">
      <c r="A424" s="12" t="inlineStr">
        <is>
          <t>Jugador 6</t>
        </is>
      </c>
      <c r="B424" s="8" t="inlineStr">
        <is>
          <t>M63</t>
        </is>
      </c>
      <c r="C424" s="12" t="inlineStr">
        <is>
          <t>Túnez</t>
        </is>
      </c>
      <c r="D424" s="12" t="inlineStr">
        <is>
          <t>Camerún</t>
        </is>
      </c>
      <c r="E424" s="8" t="n"/>
      <c r="F424" s="8" t="n"/>
      <c r="G424" s="8">
        <f>IF(OR(ISBLANK(E424),ISBLANK(F424)),"",IF(E424&gt;F424,"Local",IF(E424=F424,"Empate","Visitante")))</f>
        <v/>
      </c>
      <c r="H424" s="8">
        <f>IF(VLOOKUP(B424,PARTIDOS!$A:$I,9,FALSE)="Cerrado",IF(G424=VLOOKUP(B424,PARTIDOS!$A:$I,8,FALSE),IF(AND(E424=VLOOKUP(B424,PARTIDOS!$A:$I,6,FALSE),F424=VLOOKUP(B424,PARTIDOS!$A:$I,7,FALSE)),3,1),0),"")</f>
        <v/>
      </c>
    </row>
    <row r="425" ht="20.1" customHeight="1">
      <c r="A425" s="12" t="inlineStr">
        <is>
          <t>Jugador 6</t>
        </is>
      </c>
      <c r="B425" s="8" t="inlineStr">
        <is>
          <t>M64</t>
        </is>
      </c>
      <c r="C425" s="12" t="inlineStr">
        <is>
          <t>Nigeria</t>
        </is>
      </c>
      <c r="D425" s="12" t="inlineStr">
        <is>
          <t>Egipto</t>
        </is>
      </c>
      <c r="E425" s="8" t="n"/>
      <c r="F425" s="8" t="n"/>
      <c r="G425" s="8">
        <f>IF(OR(ISBLANK(E425),ISBLANK(F425)),"",IF(E425&gt;F425,"Local",IF(E425=F425,"Empate","Visitante")))</f>
        <v/>
      </c>
      <c r="H425" s="8">
        <f>IF(VLOOKUP(B425,PARTIDOS!$A:$I,9,FALSE)="Cerrado",IF(G425=VLOOKUP(B425,PARTIDOS!$A:$I,8,FALSE),IF(AND(E425=VLOOKUP(B425,PARTIDOS!$A:$I,6,FALSE),F425=VLOOKUP(B425,PARTIDOS!$A:$I,7,FALSE)),3,1),0),"")</f>
        <v/>
      </c>
    </row>
    <row r="426" ht="20.1" customHeight="1">
      <c r="A426" s="12" t="inlineStr">
        <is>
          <t>Jugador 6</t>
        </is>
      </c>
      <c r="B426" s="8" t="inlineStr">
        <is>
          <t>M65</t>
        </is>
      </c>
      <c r="C426" s="12" t="inlineStr">
        <is>
          <t>Túnez</t>
        </is>
      </c>
      <c r="D426" s="12" t="inlineStr">
        <is>
          <t>Egipto</t>
        </is>
      </c>
      <c r="E426" s="8" t="n"/>
      <c r="F426" s="8" t="n"/>
      <c r="G426" s="8">
        <f>IF(OR(ISBLANK(E426),ISBLANK(F426)),"",IF(E426&gt;F426,"Local",IF(E426=F426,"Empate","Visitante")))</f>
        <v/>
      </c>
      <c r="H426" s="8">
        <f>IF(VLOOKUP(B426,PARTIDOS!$A:$I,9,FALSE)="Cerrado",IF(G426=VLOOKUP(B426,PARTIDOS!$A:$I,8,FALSE),IF(AND(E426=VLOOKUP(B426,PARTIDOS!$A:$I,6,FALSE),F426=VLOOKUP(B426,PARTIDOS!$A:$I,7,FALSE)),3,1),0),"")</f>
        <v/>
      </c>
    </row>
    <row r="427" ht="20.1" customHeight="1">
      <c r="A427" s="12" t="inlineStr">
        <is>
          <t>Jugador 6</t>
        </is>
      </c>
      <c r="B427" s="8" t="inlineStr">
        <is>
          <t>M66</t>
        </is>
      </c>
      <c r="C427" s="12" t="inlineStr">
        <is>
          <t>Nigeria</t>
        </is>
      </c>
      <c r="D427" s="12" t="inlineStr">
        <is>
          <t>Camerún</t>
        </is>
      </c>
      <c r="E427" s="8" t="n"/>
      <c r="F427" s="8" t="n"/>
      <c r="G427" s="8">
        <f>IF(OR(ISBLANK(E427),ISBLANK(F427)),"",IF(E427&gt;F427,"Local",IF(E427=F427,"Empate","Visitante")))</f>
        <v/>
      </c>
      <c r="H427" s="8">
        <f>IF(VLOOKUP(B427,PARTIDOS!$A:$I,9,FALSE)="Cerrado",IF(G427=VLOOKUP(B427,PARTIDOS!$A:$I,8,FALSE),IF(AND(E427=VLOOKUP(B427,PARTIDOS!$A:$I,6,FALSE),F427=VLOOKUP(B427,PARTIDOS!$A:$I,7,FALSE)),3,1),0),"")</f>
        <v/>
      </c>
    </row>
    <row r="428" ht="20.1" customHeight="1">
      <c r="A428" s="12" t="inlineStr">
        <is>
          <t>Jugador 6</t>
        </is>
      </c>
      <c r="B428" s="8" t="inlineStr">
        <is>
          <t>M67</t>
        </is>
      </c>
      <c r="C428" s="12" t="inlineStr">
        <is>
          <t>Costa de Marfil</t>
        </is>
      </c>
      <c r="D428" s="12" t="inlineStr">
        <is>
          <t>Sudáfrica</t>
        </is>
      </c>
      <c r="E428" s="8" t="n"/>
      <c r="F428" s="8" t="n"/>
      <c r="G428" s="8">
        <f>IF(OR(ISBLANK(E428),ISBLANK(F428)),"",IF(E428&gt;F428,"Local",IF(E428=F428,"Empate","Visitante")))</f>
        <v/>
      </c>
      <c r="H428" s="8">
        <f>IF(VLOOKUP(B428,PARTIDOS!$A:$I,9,FALSE)="Cerrado",IF(G428=VLOOKUP(B428,PARTIDOS!$A:$I,8,FALSE),IF(AND(E428=VLOOKUP(B428,PARTIDOS!$A:$I,6,FALSE),F428=VLOOKUP(B428,PARTIDOS!$A:$I,7,FALSE)),3,1),0),"")</f>
        <v/>
      </c>
    </row>
    <row r="429" ht="20.1" customHeight="1">
      <c r="A429" s="12" t="inlineStr">
        <is>
          <t>Jugador 6</t>
        </is>
      </c>
      <c r="B429" s="8" t="inlineStr">
        <is>
          <t>M68</t>
        </is>
      </c>
      <c r="C429" s="12" t="inlineStr">
        <is>
          <t>Panáma</t>
        </is>
      </c>
      <c r="D429" s="12" t="inlineStr">
        <is>
          <t>Nueva Zelanda</t>
        </is>
      </c>
      <c r="E429" s="8" t="n"/>
      <c r="F429" s="8" t="n"/>
      <c r="G429" s="8">
        <f>IF(OR(ISBLANK(E429),ISBLANK(F429)),"",IF(E429&gt;F429,"Local",IF(E429=F429,"Empate","Visitante")))</f>
        <v/>
      </c>
      <c r="H429" s="8">
        <f>IF(VLOOKUP(B429,PARTIDOS!$A:$I,9,FALSE)="Cerrado",IF(G429=VLOOKUP(B429,PARTIDOS!$A:$I,8,FALSE),IF(AND(E429=VLOOKUP(B429,PARTIDOS!$A:$I,6,FALSE),F429=VLOOKUP(B429,PARTIDOS!$A:$I,7,FALSE)),3,1),0),"")</f>
        <v/>
      </c>
    </row>
    <row r="430" ht="20.1" customHeight="1">
      <c r="A430" s="12" t="inlineStr">
        <is>
          <t>Jugador 6</t>
        </is>
      </c>
      <c r="B430" s="8" t="inlineStr">
        <is>
          <t>M69</t>
        </is>
      </c>
      <c r="C430" s="12" t="inlineStr">
        <is>
          <t>Costa de Marfil</t>
        </is>
      </c>
      <c r="D430" s="12" t="inlineStr">
        <is>
          <t>Panáma</t>
        </is>
      </c>
      <c r="E430" s="8" t="n"/>
      <c r="F430" s="8" t="n"/>
      <c r="G430" s="8">
        <f>IF(OR(ISBLANK(E430),ISBLANK(F430)),"",IF(E430&gt;F430,"Local",IF(E430=F430,"Empate","Visitante")))</f>
        <v/>
      </c>
      <c r="H430" s="8">
        <f>IF(VLOOKUP(B430,PARTIDOS!$A:$I,9,FALSE)="Cerrado",IF(G430=VLOOKUP(B430,PARTIDOS!$A:$I,8,FALSE),IF(AND(E430=VLOOKUP(B430,PARTIDOS!$A:$I,6,FALSE),F430=VLOOKUP(B430,PARTIDOS!$A:$I,7,FALSE)),3,1),0),"")</f>
        <v/>
      </c>
    </row>
    <row r="431" ht="20.1" customHeight="1">
      <c r="A431" s="12" t="inlineStr">
        <is>
          <t>Jugador 6</t>
        </is>
      </c>
      <c r="B431" s="8" t="inlineStr">
        <is>
          <t>M70</t>
        </is>
      </c>
      <c r="C431" s="12" t="inlineStr">
        <is>
          <t>Sudáfrica</t>
        </is>
      </c>
      <c r="D431" s="12" t="inlineStr">
        <is>
          <t>Nueva Zelanda</t>
        </is>
      </c>
      <c r="E431" s="8" t="n"/>
      <c r="F431" s="8" t="n"/>
      <c r="G431" s="8">
        <f>IF(OR(ISBLANK(E431),ISBLANK(F431)),"",IF(E431&gt;F431,"Local",IF(E431=F431,"Empate","Visitante")))</f>
        <v/>
      </c>
      <c r="H431" s="8">
        <f>IF(VLOOKUP(B431,PARTIDOS!$A:$I,9,FALSE)="Cerrado",IF(G431=VLOOKUP(B431,PARTIDOS!$A:$I,8,FALSE),IF(AND(E431=VLOOKUP(B431,PARTIDOS!$A:$I,6,FALSE),F431=VLOOKUP(B431,PARTIDOS!$A:$I,7,FALSE)),3,1),0),"")</f>
        <v/>
      </c>
    </row>
    <row r="432" ht="20.1" customHeight="1">
      <c r="A432" s="12" t="inlineStr">
        <is>
          <t>Jugador 6</t>
        </is>
      </c>
      <c r="B432" s="8" t="inlineStr">
        <is>
          <t>M71</t>
        </is>
      </c>
      <c r="C432" s="12" t="inlineStr">
        <is>
          <t>Costa de Marfil</t>
        </is>
      </c>
      <c r="D432" s="12" t="inlineStr">
        <is>
          <t>Nueva Zelanda</t>
        </is>
      </c>
      <c r="E432" s="8" t="n"/>
      <c r="F432" s="8" t="n"/>
      <c r="G432" s="8">
        <f>IF(OR(ISBLANK(E432),ISBLANK(F432)),"",IF(E432&gt;F432,"Local",IF(E432=F432,"Empate","Visitante")))</f>
        <v/>
      </c>
      <c r="H432" s="8">
        <f>IF(VLOOKUP(B432,PARTIDOS!$A:$I,9,FALSE)="Cerrado",IF(G432=VLOOKUP(B432,PARTIDOS!$A:$I,8,FALSE),IF(AND(E432=VLOOKUP(B432,PARTIDOS!$A:$I,6,FALSE),F432=VLOOKUP(B432,PARTIDOS!$A:$I,7,FALSE)),3,1),0),"")</f>
        <v/>
      </c>
    </row>
    <row r="433" ht="20.1" customHeight="1">
      <c r="A433" s="12" t="inlineStr">
        <is>
          <t>Jugador 6</t>
        </is>
      </c>
      <c r="B433" s="8" t="inlineStr">
        <is>
          <t>M72</t>
        </is>
      </c>
      <c r="C433" s="12" t="inlineStr">
        <is>
          <t>Sudáfrica</t>
        </is>
      </c>
      <c r="D433" s="12" t="inlineStr">
        <is>
          <t>Panáma</t>
        </is>
      </c>
      <c r="E433" s="8" t="n"/>
      <c r="F433" s="8" t="n"/>
      <c r="G433" s="8">
        <f>IF(OR(ISBLANK(E433),ISBLANK(F433)),"",IF(E433&gt;F433,"Local",IF(E433=F433,"Empate","Visitante")))</f>
        <v/>
      </c>
      <c r="H433" s="8">
        <f>IF(VLOOKUP(B433,PARTIDOS!$A:$I,9,FALSE)="Cerrado",IF(G433=VLOOKUP(B433,PARTIDOS!$A:$I,8,FALSE),IF(AND(E433=VLOOKUP(B433,PARTIDOS!$A:$I,6,FALSE),F433=VLOOKUP(B433,PARTIDOS!$A:$I,7,FALSE)),3,1),0),"")</f>
        <v/>
      </c>
    </row>
    <row r="434" ht="20.1" customHeight="1">
      <c r="A434" s="12" t="inlineStr">
        <is>
          <t>Jugador 7</t>
        </is>
      </c>
      <c r="B434" s="8" t="inlineStr">
        <is>
          <t>M01</t>
        </is>
      </c>
      <c r="C434" s="12" t="inlineStr">
        <is>
          <t>México</t>
        </is>
      </c>
      <c r="D434" s="12" t="inlineStr">
        <is>
          <t>EEUU</t>
        </is>
      </c>
      <c r="E434" s="8" t="n"/>
      <c r="F434" s="8" t="n"/>
      <c r="G434" s="8">
        <f>IF(OR(ISBLANK(E434),ISBLANK(F434)),"",IF(E434&gt;F434,"Local",IF(E434=F434,"Empate","Visitante")))</f>
        <v/>
      </c>
      <c r="H434" s="8">
        <f>IF(VLOOKUP(B434,PARTIDOS!$A:$I,9,FALSE)="Cerrado",IF(G434=VLOOKUP(B434,PARTIDOS!$A:$I,8,FALSE),IF(AND(E434=VLOOKUP(B434,PARTIDOS!$A:$I,6,FALSE),F434=VLOOKUP(B434,PARTIDOS!$A:$I,7,FALSE)),3,1),0),"")</f>
        <v/>
      </c>
    </row>
    <row r="435" ht="20.1" customHeight="1">
      <c r="A435" s="12" t="inlineStr">
        <is>
          <t>Jugador 7</t>
        </is>
      </c>
      <c r="B435" s="8" t="inlineStr">
        <is>
          <t>M02</t>
        </is>
      </c>
      <c r="C435" s="12" t="inlineStr">
        <is>
          <t>Canadá</t>
        </is>
      </c>
      <c r="D435" s="12" t="inlineStr">
        <is>
          <t>Jamaica</t>
        </is>
      </c>
      <c r="E435" s="8" t="n"/>
      <c r="F435" s="8" t="n"/>
      <c r="G435" s="8">
        <f>IF(OR(ISBLANK(E435),ISBLANK(F435)),"",IF(E435&gt;F435,"Local",IF(E435=F435,"Empate","Visitante")))</f>
        <v/>
      </c>
      <c r="H435" s="8">
        <f>IF(VLOOKUP(B435,PARTIDOS!$A:$I,9,FALSE)="Cerrado",IF(G435=VLOOKUP(B435,PARTIDOS!$A:$I,8,FALSE),IF(AND(E435=VLOOKUP(B435,PARTIDOS!$A:$I,6,FALSE),F435=VLOOKUP(B435,PARTIDOS!$A:$I,7,FALSE)),3,1),0),"")</f>
        <v/>
      </c>
    </row>
    <row r="436" ht="20.1" customHeight="1">
      <c r="A436" s="12" t="inlineStr">
        <is>
          <t>Jugador 7</t>
        </is>
      </c>
      <c r="B436" s="8" t="inlineStr">
        <is>
          <t>M03</t>
        </is>
      </c>
      <c r="C436" s="12" t="inlineStr">
        <is>
          <t>México</t>
        </is>
      </c>
      <c r="D436" s="12" t="inlineStr">
        <is>
          <t>Canadá</t>
        </is>
      </c>
      <c r="E436" s="8" t="n"/>
      <c r="F436" s="8" t="n"/>
      <c r="G436" s="8">
        <f>IF(OR(ISBLANK(E436),ISBLANK(F436)),"",IF(E436&gt;F436,"Local",IF(E436=F436,"Empate","Visitante")))</f>
        <v/>
      </c>
      <c r="H436" s="8">
        <f>IF(VLOOKUP(B436,PARTIDOS!$A:$I,9,FALSE)="Cerrado",IF(G436=VLOOKUP(B436,PARTIDOS!$A:$I,8,FALSE),IF(AND(E436=VLOOKUP(B436,PARTIDOS!$A:$I,6,FALSE),F436=VLOOKUP(B436,PARTIDOS!$A:$I,7,FALSE)),3,1),0),"")</f>
        <v/>
      </c>
    </row>
    <row r="437" ht="20.1" customHeight="1">
      <c r="A437" s="12" t="inlineStr">
        <is>
          <t>Jugador 7</t>
        </is>
      </c>
      <c r="B437" s="8" t="inlineStr">
        <is>
          <t>M04</t>
        </is>
      </c>
      <c r="C437" s="12" t="inlineStr">
        <is>
          <t>EEUU</t>
        </is>
      </c>
      <c r="D437" s="12" t="inlineStr">
        <is>
          <t>Jamaica</t>
        </is>
      </c>
      <c r="E437" s="8" t="n"/>
      <c r="F437" s="8" t="n"/>
      <c r="G437" s="8">
        <f>IF(OR(ISBLANK(E437),ISBLANK(F437)),"",IF(E437&gt;F437,"Local",IF(E437=F437,"Empate","Visitante")))</f>
        <v/>
      </c>
      <c r="H437" s="8">
        <f>IF(VLOOKUP(B437,PARTIDOS!$A:$I,9,FALSE)="Cerrado",IF(G437=VLOOKUP(B437,PARTIDOS!$A:$I,8,FALSE),IF(AND(E437=VLOOKUP(B437,PARTIDOS!$A:$I,6,FALSE),F437=VLOOKUP(B437,PARTIDOS!$A:$I,7,FALSE)),3,1),0),"")</f>
        <v/>
      </c>
    </row>
    <row r="438" ht="20.1" customHeight="1">
      <c r="A438" s="12" t="inlineStr">
        <is>
          <t>Jugador 7</t>
        </is>
      </c>
      <c r="B438" s="8" t="inlineStr">
        <is>
          <t>M05</t>
        </is>
      </c>
      <c r="C438" s="12" t="inlineStr">
        <is>
          <t>México</t>
        </is>
      </c>
      <c r="D438" s="12" t="inlineStr">
        <is>
          <t>Jamaica</t>
        </is>
      </c>
      <c r="E438" s="8" t="n"/>
      <c r="F438" s="8" t="n"/>
      <c r="G438" s="8">
        <f>IF(OR(ISBLANK(E438),ISBLANK(F438)),"",IF(E438&gt;F438,"Local",IF(E438=F438,"Empate","Visitante")))</f>
        <v/>
      </c>
      <c r="H438" s="8">
        <f>IF(VLOOKUP(B438,PARTIDOS!$A:$I,9,FALSE)="Cerrado",IF(G438=VLOOKUP(B438,PARTIDOS!$A:$I,8,FALSE),IF(AND(E438=VLOOKUP(B438,PARTIDOS!$A:$I,6,FALSE),F438=VLOOKUP(B438,PARTIDOS!$A:$I,7,FALSE)),3,1),0),"")</f>
        <v/>
      </c>
    </row>
    <row r="439" ht="20.1" customHeight="1">
      <c r="A439" s="12" t="inlineStr">
        <is>
          <t>Jugador 7</t>
        </is>
      </c>
      <c r="B439" s="8" t="inlineStr">
        <is>
          <t>M06</t>
        </is>
      </c>
      <c r="C439" s="12" t="inlineStr">
        <is>
          <t>EEUU</t>
        </is>
      </c>
      <c r="D439" s="12" t="inlineStr">
        <is>
          <t>Canadá</t>
        </is>
      </c>
      <c r="E439" s="8" t="n"/>
      <c r="F439" s="8" t="n"/>
      <c r="G439" s="8">
        <f>IF(OR(ISBLANK(E439),ISBLANK(F439)),"",IF(E439&gt;F439,"Local",IF(E439=F439,"Empate","Visitante")))</f>
        <v/>
      </c>
      <c r="H439" s="8">
        <f>IF(VLOOKUP(B439,PARTIDOS!$A:$I,9,FALSE)="Cerrado",IF(G439=VLOOKUP(B439,PARTIDOS!$A:$I,8,FALSE),IF(AND(E439=VLOOKUP(B439,PARTIDOS!$A:$I,6,FALSE),F439=VLOOKUP(B439,PARTIDOS!$A:$I,7,FALSE)),3,1),0),"")</f>
        <v/>
      </c>
    </row>
    <row r="440" ht="20.1" customHeight="1">
      <c r="A440" s="12" t="inlineStr">
        <is>
          <t>Jugador 7</t>
        </is>
      </c>
      <c r="B440" s="8" t="inlineStr">
        <is>
          <t>M07</t>
        </is>
      </c>
      <c r="C440" s="12" t="inlineStr">
        <is>
          <t>Argentina</t>
        </is>
      </c>
      <c r="D440" s="12" t="inlineStr">
        <is>
          <t>Brasil</t>
        </is>
      </c>
      <c r="E440" s="8" t="n"/>
      <c r="F440" s="8" t="n"/>
      <c r="G440" s="8">
        <f>IF(OR(ISBLANK(E440),ISBLANK(F440)),"",IF(E440&gt;F440,"Local",IF(E440=F440,"Empate","Visitante")))</f>
        <v/>
      </c>
      <c r="H440" s="8">
        <f>IF(VLOOKUP(B440,PARTIDOS!$A:$I,9,FALSE)="Cerrado",IF(G440=VLOOKUP(B440,PARTIDOS!$A:$I,8,FALSE),IF(AND(E440=VLOOKUP(B440,PARTIDOS!$A:$I,6,FALSE),F440=VLOOKUP(B440,PARTIDOS!$A:$I,7,FALSE)),3,1),0),"")</f>
        <v/>
      </c>
    </row>
    <row r="441" ht="20.1" customHeight="1">
      <c r="A441" s="12" t="inlineStr">
        <is>
          <t>Jugador 7</t>
        </is>
      </c>
      <c r="B441" s="8" t="inlineStr">
        <is>
          <t>M08</t>
        </is>
      </c>
      <c r="C441" s="12" t="inlineStr">
        <is>
          <t>Colombia</t>
        </is>
      </c>
      <c r="D441" s="12" t="inlineStr">
        <is>
          <t>Uruguay</t>
        </is>
      </c>
      <c r="E441" s="8" t="n"/>
      <c r="F441" s="8" t="n"/>
      <c r="G441" s="8">
        <f>IF(OR(ISBLANK(E441),ISBLANK(F441)),"",IF(E441&gt;F441,"Local",IF(E441=F441,"Empate","Visitante")))</f>
        <v/>
      </c>
      <c r="H441" s="8">
        <f>IF(VLOOKUP(B441,PARTIDOS!$A:$I,9,FALSE)="Cerrado",IF(G441=VLOOKUP(B441,PARTIDOS!$A:$I,8,FALSE),IF(AND(E441=VLOOKUP(B441,PARTIDOS!$A:$I,6,FALSE),F441=VLOOKUP(B441,PARTIDOS!$A:$I,7,FALSE)),3,1),0),"")</f>
        <v/>
      </c>
    </row>
    <row r="442" ht="20.1" customHeight="1">
      <c r="A442" s="12" t="inlineStr">
        <is>
          <t>Jugador 7</t>
        </is>
      </c>
      <c r="B442" s="8" t="inlineStr">
        <is>
          <t>M09</t>
        </is>
      </c>
      <c r="C442" s="12" t="inlineStr">
        <is>
          <t>Argentina</t>
        </is>
      </c>
      <c r="D442" s="12" t="inlineStr">
        <is>
          <t>Colombia</t>
        </is>
      </c>
      <c r="E442" s="8" t="n"/>
      <c r="F442" s="8" t="n"/>
      <c r="G442" s="8">
        <f>IF(OR(ISBLANK(E442),ISBLANK(F442)),"",IF(E442&gt;F442,"Local",IF(E442=F442,"Empate","Visitante")))</f>
        <v/>
      </c>
      <c r="H442" s="8">
        <f>IF(VLOOKUP(B442,PARTIDOS!$A:$I,9,FALSE)="Cerrado",IF(G442=VLOOKUP(B442,PARTIDOS!$A:$I,8,FALSE),IF(AND(E442=VLOOKUP(B442,PARTIDOS!$A:$I,6,FALSE),F442=VLOOKUP(B442,PARTIDOS!$A:$I,7,FALSE)),3,1),0),"")</f>
        <v/>
      </c>
    </row>
    <row r="443" ht="20.1" customHeight="1">
      <c r="A443" s="12" t="inlineStr">
        <is>
          <t>Jugador 7</t>
        </is>
      </c>
      <c r="B443" s="8" t="inlineStr">
        <is>
          <t>M10</t>
        </is>
      </c>
      <c r="C443" s="12" t="inlineStr">
        <is>
          <t>Brasil</t>
        </is>
      </c>
      <c r="D443" s="12" t="inlineStr">
        <is>
          <t>Uruguay</t>
        </is>
      </c>
      <c r="E443" s="8" t="n"/>
      <c r="F443" s="8" t="n"/>
      <c r="G443" s="8">
        <f>IF(OR(ISBLANK(E443),ISBLANK(F443)),"",IF(E443&gt;F443,"Local",IF(E443=F443,"Empate","Visitante")))</f>
        <v/>
      </c>
      <c r="H443" s="8">
        <f>IF(VLOOKUP(B443,PARTIDOS!$A:$I,9,FALSE)="Cerrado",IF(G443=VLOOKUP(B443,PARTIDOS!$A:$I,8,FALSE),IF(AND(E443=VLOOKUP(B443,PARTIDOS!$A:$I,6,FALSE),F443=VLOOKUP(B443,PARTIDOS!$A:$I,7,FALSE)),3,1),0),"")</f>
        <v/>
      </c>
    </row>
    <row r="444" ht="20.1" customHeight="1">
      <c r="A444" s="12" t="inlineStr">
        <is>
          <t>Jugador 7</t>
        </is>
      </c>
      <c r="B444" s="8" t="inlineStr">
        <is>
          <t>M11</t>
        </is>
      </c>
      <c r="C444" s="12" t="inlineStr">
        <is>
          <t>Argentina</t>
        </is>
      </c>
      <c r="D444" s="12" t="inlineStr">
        <is>
          <t>Uruguay</t>
        </is>
      </c>
      <c r="E444" s="8" t="n"/>
      <c r="F444" s="8" t="n"/>
      <c r="G444" s="8">
        <f>IF(OR(ISBLANK(E444),ISBLANK(F444)),"",IF(E444&gt;F444,"Local",IF(E444=F444,"Empate","Visitante")))</f>
        <v/>
      </c>
      <c r="H444" s="8">
        <f>IF(VLOOKUP(B444,PARTIDOS!$A:$I,9,FALSE)="Cerrado",IF(G444=VLOOKUP(B444,PARTIDOS!$A:$I,8,FALSE),IF(AND(E444=VLOOKUP(B444,PARTIDOS!$A:$I,6,FALSE),F444=VLOOKUP(B444,PARTIDOS!$A:$I,7,FALSE)),3,1),0),"")</f>
        <v/>
      </c>
    </row>
    <row r="445" ht="20.1" customHeight="1">
      <c r="A445" s="12" t="inlineStr">
        <is>
          <t>Jugador 7</t>
        </is>
      </c>
      <c r="B445" s="8" t="inlineStr">
        <is>
          <t>M12</t>
        </is>
      </c>
      <c r="C445" s="12" t="inlineStr">
        <is>
          <t>Brasil</t>
        </is>
      </c>
      <c r="D445" s="12" t="inlineStr">
        <is>
          <t>Colombia</t>
        </is>
      </c>
      <c r="E445" s="8" t="n"/>
      <c r="F445" s="8" t="n"/>
      <c r="G445" s="8">
        <f>IF(OR(ISBLANK(E445),ISBLANK(F445)),"",IF(E445&gt;F445,"Local",IF(E445=F445,"Empate","Visitante")))</f>
        <v/>
      </c>
      <c r="H445" s="8">
        <f>IF(VLOOKUP(B445,PARTIDOS!$A:$I,9,FALSE)="Cerrado",IF(G445=VLOOKUP(B445,PARTIDOS!$A:$I,8,FALSE),IF(AND(E445=VLOOKUP(B445,PARTIDOS!$A:$I,6,FALSE),F445=VLOOKUP(B445,PARTIDOS!$A:$I,7,FALSE)),3,1),0),"")</f>
        <v/>
      </c>
    </row>
    <row r="446" ht="20.1" customHeight="1">
      <c r="A446" s="12" t="inlineStr">
        <is>
          <t>Jugador 7</t>
        </is>
      </c>
      <c r="B446" s="8" t="inlineStr">
        <is>
          <t>M13</t>
        </is>
      </c>
      <c r="C446" s="12" t="inlineStr">
        <is>
          <t>Ecuador</t>
        </is>
      </c>
      <c r="D446" s="12" t="inlineStr">
        <is>
          <t>Perú</t>
        </is>
      </c>
      <c r="E446" s="8" t="n"/>
      <c r="F446" s="8" t="n"/>
      <c r="G446" s="8">
        <f>IF(OR(ISBLANK(E446),ISBLANK(F446)),"",IF(E446&gt;F446,"Local",IF(E446=F446,"Empate","Visitante")))</f>
        <v/>
      </c>
      <c r="H446" s="8">
        <f>IF(VLOOKUP(B446,PARTIDOS!$A:$I,9,FALSE)="Cerrado",IF(G446=VLOOKUP(B446,PARTIDOS!$A:$I,8,FALSE),IF(AND(E446=VLOOKUP(B446,PARTIDOS!$A:$I,6,FALSE),F446=VLOOKUP(B446,PARTIDOS!$A:$I,7,FALSE)),3,1),0),"")</f>
        <v/>
      </c>
    </row>
    <row r="447" ht="20.1" customHeight="1">
      <c r="A447" s="12" t="inlineStr">
        <is>
          <t>Jugador 7</t>
        </is>
      </c>
      <c r="B447" s="8" t="inlineStr">
        <is>
          <t>M14</t>
        </is>
      </c>
      <c r="C447" s="12" t="inlineStr">
        <is>
          <t>Chile</t>
        </is>
      </c>
      <c r="D447" s="12" t="inlineStr">
        <is>
          <t>Paraguay</t>
        </is>
      </c>
      <c r="E447" s="8" t="n"/>
      <c r="F447" s="8" t="n"/>
      <c r="G447" s="8">
        <f>IF(OR(ISBLANK(E447),ISBLANK(F447)),"",IF(E447&gt;F447,"Local",IF(E447=F447,"Empate","Visitante")))</f>
        <v/>
      </c>
      <c r="H447" s="8">
        <f>IF(VLOOKUP(B447,PARTIDOS!$A:$I,9,FALSE)="Cerrado",IF(G447=VLOOKUP(B447,PARTIDOS!$A:$I,8,FALSE),IF(AND(E447=VLOOKUP(B447,PARTIDOS!$A:$I,6,FALSE),F447=VLOOKUP(B447,PARTIDOS!$A:$I,7,FALSE)),3,1),0),"")</f>
        <v/>
      </c>
    </row>
    <row r="448" ht="20.1" customHeight="1">
      <c r="A448" s="12" t="inlineStr">
        <is>
          <t>Jugador 7</t>
        </is>
      </c>
      <c r="B448" s="8" t="inlineStr">
        <is>
          <t>M15</t>
        </is>
      </c>
      <c r="C448" s="12" t="inlineStr">
        <is>
          <t>Ecuador</t>
        </is>
      </c>
      <c r="D448" s="12" t="inlineStr">
        <is>
          <t>Chile</t>
        </is>
      </c>
      <c r="E448" s="8" t="n"/>
      <c r="F448" s="8" t="n"/>
      <c r="G448" s="8">
        <f>IF(OR(ISBLANK(E448),ISBLANK(F448)),"",IF(E448&gt;F448,"Local",IF(E448=F448,"Empate","Visitante")))</f>
        <v/>
      </c>
      <c r="H448" s="8">
        <f>IF(VLOOKUP(B448,PARTIDOS!$A:$I,9,FALSE)="Cerrado",IF(G448=VLOOKUP(B448,PARTIDOS!$A:$I,8,FALSE),IF(AND(E448=VLOOKUP(B448,PARTIDOS!$A:$I,6,FALSE),F448=VLOOKUP(B448,PARTIDOS!$A:$I,7,FALSE)),3,1),0),"")</f>
        <v/>
      </c>
    </row>
    <row r="449" ht="20.1" customHeight="1">
      <c r="A449" s="12" t="inlineStr">
        <is>
          <t>Jugador 7</t>
        </is>
      </c>
      <c r="B449" s="8" t="inlineStr">
        <is>
          <t>M16</t>
        </is>
      </c>
      <c r="C449" s="12" t="inlineStr">
        <is>
          <t>Perú</t>
        </is>
      </c>
      <c r="D449" s="12" t="inlineStr">
        <is>
          <t>Paraguay</t>
        </is>
      </c>
      <c r="E449" s="8" t="n"/>
      <c r="F449" s="8" t="n"/>
      <c r="G449" s="8">
        <f>IF(OR(ISBLANK(E449),ISBLANK(F449)),"",IF(E449&gt;F449,"Local",IF(E449=F449,"Empate","Visitante")))</f>
        <v/>
      </c>
      <c r="H449" s="8">
        <f>IF(VLOOKUP(B449,PARTIDOS!$A:$I,9,FALSE)="Cerrado",IF(G449=VLOOKUP(B449,PARTIDOS!$A:$I,8,FALSE),IF(AND(E449=VLOOKUP(B449,PARTIDOS!$A:$I,6,FALSE),F449=VLOOKUP(B449,PARTIDOS!$A:$I,7,FALSE)),3,1),0),"")</f>
        <v/>
      </c>
    </row>
    <row r="450" ht="20.1" customHeight="1">
      <c r="A450" s="12" t="inlineStr">
        <is>
          <t>Jugador 7</t>
        </is>
      </c>
      <c r="B450" s="8" t="inlineStr">
        <is>
          <t>M17</t>
        </is>
      </c>
      <c r="C450" s="12" t="inlineStr">
        <is>
          <t>Ecuador</t>
        </is>
      </c>
      <c r="D450" s="12" t="inlineStr">
        <is>
          <t>Paraguay</t>
        </is>
      </c>
      <c r="E450" s="8" t="n"/>
      <c r="F450" s="8" t="n"/>
      <c r="G450" s="8">
        <f>IF(OR(ISBLANK(E450),ISBLANK(F450)),"",IF(E450&gt;F450,"Local",IF(E450=F450,"Empate","Visitante")))</f>
        <v/>
      </c>
      <c r="H450" s="8">
        <f>IF(VLOOKUP(B450,PARTIDOS!$A:$I,9,FALSE)="Cerrado",IF(G450=VLOOKUP(B450,PARTIDOS!$A:$I,8,FALSE),IF(AND(E450=VLOOKUP(B450,PARTIDOS!$A:$I,6,FALSE),F450=VLOOKUP(B450,PARTIDOS!$A:$I,7,FALSE)),3,1),0),"")</f>
        <v/>
      </c>
    </row>
    <row r="451" ht="20.1" customHeight="1">
      <c r="A451" s="12" t="inlineStr">
        <is>
          <t>Jugador 7</t>
        </is>
      </c>
      <c r="B451" s="8" t="inlineStr">
        <is>
          <t>M18</t>
        </is>
      </c>
      <c r="C451" s="12" t="inlineStr">
        <is>
          <t>Perú</t>
        </is>
      </c>
      <c r="D451" s="12" t="inlineStr">
        <is>
          <t>Chile</t>
        </is>
      </c>
      <c r="E451" s="8" t="n"/>
      <c r="F451" s="8" t="n"/>
      <c r="G451" s="8">
        <f>IF(OR(ISBLANK(E451),ISBLANK(F451)),"",IF(E451&gt;F451,"Local",IF(E451=F451,"Empate","Visitante")))</f>
        <v/>
      </c>
      <c r="H451" s="8">
        <f>IF(VLOOKUP(B451,PARTIDOS!$A:$I,9,FALSE)="Cerrado",IF(G451=VLOOKUP(B451,PARTIDOS!$A:$I,8,FALSE),IF(AND(E451=VLOOKUP(B451,PARTIDOS!$A:$I,6,FALSE),F451=VLOOKUP(B451,PARTIDOS!$A:$I,7,FALSE)),3,1),0),"")</f>
        <v/>
      </c>
    </row>
    <row r="452" ht="20.1" customHeight="1">
      <c r="A452" s="12" t="inlineStr">
        <is>
          <t>Jugador 7</t>
        </is>
      </c>
      <c r="B452" s="8" t="inlineStr">
        <is>
          <t>M19</t>
        </is>
      </c>
      <c r="C452" s="12" t="inlineStr">
        <is>
          <t>España</t>
        </is>
      </c>
      <c r="D452" s="12" t="inlineStr">
        <is>
          <t>Francia</t>
        </is>
      </c>
      <c r="E452" s="8" t="n"/>
      <c r="F452" s="8" t="n"/>
      <c r="G452" s="8">
        <f>IF(OR(ISBLANK(E452),ISBLANK(F452)),"",IF(E452&gt;F452,"Local",IF(E452=F452,"Empate","Visitante")))</f>
        <v/>
      </c>
      <c r="H452" s="8">
        <f>IF(VLOOKUP(B452,PARTIDOS!$A:$I,9,FALSE)="Cerrado",IF(G452=VLOOKUP(B452,PARTIDOS!$A:$I,8,FALSE),IF(AND(E452=VLOOKUP(B452,PARTIDOS!$A:$I,6,FALSE),F452=VLOOKUP(B452,PARTIDOS!$A:$I,7,FALSE)),3,1),0),"")</f>
        <v/>
      </c>
    </row>
    <row r="453" ht="20.1" customHeight="1">
      <c r="A453" s="12" t="inlineStr">
        <is>
          <t>Jugador 7</t>
        </is>
      </c>
      <c r="B453" s="8" t="inlineStr">
        <is>
          <t>M20</t>
        </is>
      </c>
      <c r="C453" s="12" t="inlineStr">
        <is>
          <t>Inglaterra</t>
        </is>
      </c>
      <c r="D453" s="12" t="inlineStr">
        <is>
          <t>Alemania</t>
        </is>
      </c>
      <c r="E453" s="8" t="n"/>
      <c r="F453" s="8" t="n"/>
      <c r="G453" s="8">
        <f>IF(OR(ISBLANK(E453),ISBLANK(F453)),"",IF(E453&gt;F453,"Local",IF(E453=F453,"Empate","Visitante")))</f>
        <v/>
      </c>
      <c r="H453" s="8">
        <f>IF(VLOOKUP(B453,PARTIDOS!$A:$I,9,FALSE)="Cerrado",IF(G453=VLOOKUP(B453,PARTIDOS!$A:$I,8,FALSE),IF(AND(E453=VLOOKUP(B453,PARTIDOS!$A:$I,6,FALSE),F453=VLOOKUP(B453,PARTIDOS!$A:$I,7,FALSE)),3,1),0),"")</f>
        <v/>
      </c>
    </row>
    <row r="454" ht="20.1" customHeight="1">
      <c r="A454" s="12" t="inlineStr">
        <is>
          <t>Jugador 7</t>
        </is>
      </c>
      <c r="B454" s="8" t="inlineStr">
        <is>
          <t>M21</t>
        </is>
      </c>
      <c r="C454" s="12" t="inlineStr">
        <is>
          <t>España</t>
        </is>
      </c>
      <c r="D454" s="12" t="inlineStr">
        <is>
          <t>Inglaterra</t>
        </is>
      </c>
      <c r="E454" s="8" t="n"/>
      <c r="F454" s="8" t="n"/>
      <c r="G454" s="8">
        <f>IF(OR(ISBLANK(E454),ISBLANK(F454)),"",IF(E454&gt;F454,"Local",IF(E454=F454,"Empate","Visitante")))</f>
        <v/>
      </c>
      <c r="H454" s="8">
        <f>IF(VLOOKUP(B454,PARTIDOS!$A:$I,9,FALSE)="Cerrado",IF(G454=VLOOKUP(B454,PARTIDOS!$A:$I,8,FALSE),IF(AND(E454=VLOOKUP(B454,PARTIDOS!$A:$I,6,FALSE),F454=VLOOKUP(B454,PARTIDOS!$A:$I,7,FALSE)),3,1),0),"")</f>
        <v/>
      </c>
    </row>
    <row r="455" ht="20.1" customHeight="1">
      <c r="A455" s="12" t="inlineStr">
        <is>
          <t>Jugador 7</t>
        </is>
      </c>
      <c r="B455" s="8" t="inlineStr">
        <is>
          <t>M22</t>
        </is>
      </c>
      <c r="C455" s="12" t="inlineStr">
        <is>
          <t>Francia</t>
        </is>
      </c>
      <c r="D455" s="12" t="inlineStr">
        <is>
          <t>Alemania</t>
        </is>
      </c>
      <c r="E455" s="8" t="n"/>
      <c r="F455" s="8" t="n"/>
      <c r="G455" s="8">
        <f>IF(OR(ISBLANK(E455),ISBLANK(F455)),"",IF(E455&gt;F455,"Local",IF(E455=F455,"Empate","Visitante")))</f>
        <v/>
      </c>
      <c r="H455" s="8">
        <f>IF(VLOOKUP(B455,PARTIDOS!$A:$I,9,FALSE)="Cerrado",IF(G455=VLOOKUP(B455,PARTIDOS!$A:$I,8,FALSE),IF(AND(E455=VLOOKUP(B455,PARTIDOS!$A:$I,6,FALSE),F455=VLOOKUP(B455,PARTIDOS!$A:$I,7,FALSE)),3,1),0),"")</f>
        <v/>
      </c>
    </row>
    <row r="456" ht="20.1" customHeight="1">
      <c r="A456" s="12" t="inlineStr">
        <is>
          <t>Jugador 7</t>
        </is>
      </c>
      <c r="B456" s="8" t="inlineStr">
        <is>
          <t>M23</t>
        </is>
      </c>
      <c r="C456" s="12" t="inlineStr">
        <is>
          <t>España</t>
        </is>
      </c>
      <c r="D456" s="12" t="inlineStr">
        <is>
          <t>Alemania</t>
        </is>
      </c>
      <c r="E456" s="8" t="n"/>
      <c r="F456" s="8" t="n"/>
      <c r="G456" s="8">
        <f>IF(OR(ISBLANK(E456),ISBLANK(F456)),"",IF(E456&gt;F456,"Local",IF(E456=F456,"Empate","Visitante")))</f>
        <v/>
      </c>
      <c r="H456" s="8">
        <f>IF(VLOOKUP(B456,PARTIDOS!$A:$I,9,FALSE)="Cerrado",IF(G456=VLOOKUP(B456,PARTIDOS!$A:$I,8,FALSE),IF(AND(E456=VLOOKUP(B456,PARTIDOS!$A:$I,6,FALSE),F456=VLOOKUP(B456,PARTIDOS!$A:$I,7,FALSE)),3,1),0),"")</f>
        <v/>
      </c>
    </row>
    <row r="457" ht="20.1" customHeight="1">
      <c r="A457" s="12" t="inlineStr">
        <is>
          <t>Jugador 7</t>
        </is>
      </c>
      <c r="B457" s="8" t="inlineStr">
        <is>
          <t>M24</t>
        </is>
      </c>
      <c r="C457" s="12" t="inlineStr">
        <is>
          <t>Francia</t>
        </is>
      </c>
      <c r="D457" s="12" t="inlineStr">
        <is>
          <t>Inglaterra</t>
        </is>
      </c>
      <c r="E457" s="8" t="n"/>
      <c r="F457" s="8" t="n"/>
      <c r="G457" s="8">
        <f>IF(OR(ISBLANK(E457),ISBLANK(F457)),"",IF(E457&gt;F457,"Local",IF(E457=F457,"Empate","Visitante")))</f>
        <v/>
      </c>
      <c r="H457" s="8">
        <f>IF(VLOOKUP(B457,PARTIDOS!$A:$I,9,FALSE)="Cerrado",IF(G457=VLOOKUP(B457,PARTIDOS!$A:$I,8,FALSE),IF(AND(E457=VLOOKUP(B457,PARTIDOS!$A:$I,6,FALSE),F457=VLOOKUP(B457,PARTIDOS!$A:$I,7,FALSE)),3,1),0),"")</f>
        <v/>
      </c>
    </row>
    <row r="458" ht="20.1" customHeight="1">
      <c r="A458" s="12" t="inlineStr">
        <is>
          <t>Jugador 7</t>
        </is>
      </c>
      <c r="B458" s="8" t="inlineStr">
        <is>
          <t>M25</t>
        </is>
      </c>
      <c r="C458" s="12" t="inlineStr">
        <is>
          <t>Portugal</t>
        </is>
      </c>
      <c r="D458" s="12" t="inlineStr">
        <is>
          <t>Bélgica</t>
        </is>
      </c>
      <c r="E458" s="8" t="n"/>
      <c r="F458" s="8" t="n"/>
      <c r="G458" s="8">
        <f>IF(OR(ISBLANK(E458),ISBLANK(F458)),"",IF(E458&gt;F458,"Local",IF(E458=F458,"Empate","Visitante")))</f>
        <v/>
      </c>
      <c r="H458" s="8">
        <f>IF(VLOOKUP(B458,PARTIDOS!$A:$I,9,FALSE)="Cerrado",IF(G458=VLOOKUP(B458,PARTIDOS!$A:$I,8,FALSE),IF(AND(E458=VLOOKUP(B458,PARTIDOS!$A:$I,6,FALSE),F458=VLOOKUP(B458,PARTIDOS!$A:$I,7,FALSE)),3,1),0),"")</f>
        <v/>
      </c>
    </row>
    <row r="459" ht="20.1" customHeight="1">
      <c r="A459" s="12" t="inlineStr">
        <is>
          <t>Jugador 7</t>
        </is>
      </c>
      <c r="B459" s="8" t="inlineStr">
        <is>
          <t>M26</t>
        </is>
      </c>
      <c r="C459" s="12" t="inlineStr">
        <is>
          <t>Países Bajos</t>
        </is>
      </c>
      <c r="D459" s="12" t="inlineStr">
        <is>
          <t>Italia</t>
        </is>
      </c>
      <c r="E459" s="8" t="n"/>
      <c r="F459" s="8" t="n"/>
      <c r="G459" s="8">
        <f>IF(OR(ISBLANK(E459),ISBLANK(F459)),"",IF(E459&gt;F459,"Local",IF(E459=F459,"Empate","Visitante")))</f>
        <v/>
      </c>
      <c r="H459" s="8">
        <f>IF(VLOOKUP(B459,PARTIDOS!$A:$I,9,FALSE)="Cerrado",IF(G459=VLOOKUP(B459,PARTIDOS!$A:$I,8,FALSE),IF(AND(E459=VLOOKUP(B459,PARTIDOS!$A:$I,6,FALSE),F459=VLOOKUP(B459,PARTIDOS!$A:$I,7,FALSE)),3,1),0),"")</f>
        <v/>
      </c>
    </row>
    <row r="460" ht="20.1" customHeight="1">
      <c r="A460" s="12" t="inlineStr">
        <is>
          <t>Jugador 7</t>
        </is>
      </c>
      <c r="B460" s="8" t="inlineStr">
        <is>
          <t>M27</t>
        </is>
      </c>
      <c r="C460" s="12" t="inlineStr">
        <is>
          <t>Portugal</t>
        </is>
      </c>
      <c r="D460" s="12" t="inlineStr">
        <is>
          <t>Países Bajos</t>
        </is>
      </c>
      <c r="E460" s="8" t="n"/>
      <c r="F460" s="8" t="n"/>
      <c r="G460" s="8">
        <f>IF(OR(ISBLANK(E460),ISBLANK(F460)),"",IF(E460&gt;F460,"Local",IF(E460=F460,"Empate","Visitante")))</f>
        <v/>
      </c>
      <c r="H460" s="8">
        <f>IF(VLOOKUP(B460,PARTIDOS!$A:$I,9,FALSE)="Cerrado",IF(G460=VLOOKUP(B460,PARTIDOS!$A:$I,8,FALSE),IF(AND(E460=VLOOKUP(B460,PARTIDOS!$A:$I,6,FALSE),F460=VLOOKUP(B460,PARTIDOS!$A:$I,7,FALSE)),3,1),0),"")</f>
        <v/>
      </c>
    </row>
    <row r="461" ht="20.1" customHeight="1">
      <c r="A461" s="12" t="inlineStr">
        <is>
          <t>Jugador 7</t>
        </is>
      </c>
      <c r="B461" s="8" t="inlineStr">
        <is>
          <t>M28</t>
        </is>
      </c>
      <c r="C461" s="12" t="inlineStr">
        <is>
          <t>Bélgica</t>
        </is>
      </c>
      <c r="D461" s="12" t="inlineStr">
        <is>
          <t>Italia</t>
        </is>
      </c>
      <c r="E461" s="8" t="n"/>
      <c r="F461" s="8" t="n"/>
      <c r="G461" s="8">
        <f>IF(OR(ISBLANK(E461),ISBLANK(F461)),"",IF(E461&gt;F461,"Local",IF(E461=F461,"Empate","Visitante")))</f>
        <v/>
      </c>
      <c r="H461" s="8">
        <f>IF(VLOOKUP(B461,PARTIDOS!$A:$I,9,FALSE)="Cerrado",IF(G461=VLOOKUP(B461,PARTIDOS!$A:$I,8,FALSE),IF(AND(E461=VLOOKUP(B461,PARTIDOS!$A:$I,6,FALSE),F461=VLOOKUP(B461,PARTIDOS!$A:$I,7,FALSE)),3,1),0),"")</f>
        <v/>
      </c>
    </row>
    <row r="462" ht="20.1" customHeight="1">
      <c r="A462" s="12" t="inlineStr">
        <is>
          <t>Jugador 7</t>
        </is>
      </c>
      <c r="B462" s="8" t="inlineStr">
        <is>
          <t>M29</t>
        </is>
      </c>
      <c r="C462" s="12" t="inlineStr">
        <is>
          <t>Portugal</t>
        </is>
      </c>
      <c r="D462" s="12" t="inlineStr">
        <is>
          <t>Italia</t>
        </is>
      </c>
      <c r="E462" s="8" t="n"/>
      <c r="F462" s="8" t="n"/>
      <c r="G462" s="8">
        <f>IF(OR(ISBLANK(E462),ISBLANK(F462)),"",IF(E462&gt;F462,"Local",IF(E462=F462,"Empate","Visitante")))</f>
        <v/>
      </c>
      <c r="H462" s="8">
        <f>IF(VLOOKUP(B462,PARTIDOS!$A:$I,9,FALSE)="Cerrado",IF(G462=VLOOKUP(B462,PARTIDOS!$A:$I,8,FALSE),IF(AND(E462=VLOOKUP(B462,PARTIDOS!$A:$I,6,FALSE),F462=VLOOKUP(B462,PARTIDOS!$A:$I,7,FALSE)),3,1),0),"")</f>
        <v/>
      </c>
    </row>
    <row r="463" ht="20.1" customHeight="1">
      <c r="A463" s="12" t="inlineStr">
        <is>
          <t>Jugador 7</t>
        </is>
      </c>
      <c r="B463" s="8" t="inlineStr">
        <is>
          <t>M30</t>
        </is>
      </c>
      <c r="C463" s="12" t="inlineStr">
        <is>
          <t>Bélgica</t>
        </is>
      </c>
      <c r="D463" s="12" t="inlineStr">
        <is>
          <t>Países Bajos</t>
        </is>
      </c>
      <c r="E463" s="8" t="n"/>
      <c r="F463" s="8" t="n"/>
      <c r="G463" s="8">
        <f>IF(OR(ISBLANK(E463),ISBLANK(F463)),"",IF(E463&gt;F463,"Local",IF(E463=F463,"Empate","Visitante")))</f>
        <v/>
      </c>
      <c r="H463" s="8">
        <f>IF(VLOOKUP(B463,PARTIDOS!$A:$I,9,FALSE)="Cerrado",IF(G463=VLOOKUP(B463,PARTIDOS!$A:$I,8,FALSE),IF(AND(E463=VLOOKUP(B463,PARTIDOS!$A:$I,6,FALSE),F463=VLOOKUP(B463,PARTIDOS!$A:$I,7,FALSE)),3,1),0),"")</f>
        <v/>
      </c>
    </row>
    <row r="464" ht="20.1" customHeight="1">
      <c r="A464" s="12" t="inlineStr">
        <is>
          <t>Jugador 7</t>
        </is>
      </c>
      <c r="B464" s="8" t="inlineStr">
        <is>
          <t>M31</t>
        </is>
      </c>
      <c r="C464" s="12" t="inlineStr">
        <is>
          <t>Croacia</t>
        </is>
      </c>
      <c r="D464" s="12" t="inlineStr">
        <is>
          <t>Suiza</t>
        </is>
      </c>
      <c r="E464" s="8" t="n"/>
      <c r="F464" s="8" t="n"/>
      <c r="G464" s="8">
        <f>IF(OR(ISBLANK(E464),ISBLANK(F464)),"",IF(E464&gt;F464,"Local",IF(E464=F464,"Empate","Visitante")))</f>
        <v/>
      </c>
      <c r="H464" s="8">
        <f>IF(VLOOKUP(B464,PARTIDOS!$A:$I,9,FALSE)="Cerrado",IF(G464=VLOOKUP(B464,PARTIDOS!$A:$I,8,FALSE),IF(AND(E464=VLOOKUP(B464,PARTIDOS!$A:$I,6,FALSE),F464=VLOOKUP(B464,PARTIDOS!$A:$I,7,FALSE)),3,1),0),"")</f>
        <v/>
      </c>
    </row>
    <row r="465" ht="20.1" customHeight="1">
      <c r="A465" s="12" t="inlineStr">
        <is>
          <t>Jugador 7</t>
        </is>
      </c>
      <c r="B465" s="8" t="inlineStr">
        <is>
          <t>M32</t>
        </is>
      </c>
      <c r="C465" s="12" t="inlineStr">
        <is>
          <t>Dinamarca</t>
        </is>
      </c>
      <c r="D465" s="12" t="inlineStr">
        <is>
          <t>Serbia</t>
        </is>
      </c>
      <c r="E465" s="8" t="n"/>
      <c r="F465" s="8" t="n"/>
      <c r="G465" s="8">
        <f>IF(OR(ISBLANK(E465),ISBLANK(F465)),"",IF(E465&gt;F465,"Local",IF(E465=F465,"Empate","Visitante")))</f>
        <v/>
      </c>
      <c r="H465" s="8">
        <f>IF(VLOOKUP(B465,PARTIDOS!$A:$I,9,FALSE)="Cerrado",IF(G465=VLOOKUP(B465,PARTIDOS!$A:$I,8,FALSE),IF(AND(E465=VLOOKUP(B465,PARTIDOS!$A:$I,6,FALSE),F465=VLOOKUP(B465,PARTIDOS!$A:$I,7,FALSE)),3,1),0),"")</f>
        <v/>
      </c>
    </row>
    <row r="466" ht="20.1" customHeight="1">
      <c r="A466" s="12" t="inlineStr">
        <is>
          <t>Jugador 7</t>
        </is>
      </c>
      <c r="B466" s="8" t="inlineStr">
        <is>
          <t>M33</t>
        </is>
      </c>
      <c r="C466" s="12" t="inlineStr">
        <is>
          <t>Croacia</t>
        </is>
      </c>
      <c r="D466" s="12" t="inlineStr">
        <is>
          <t>Dinamarca</t>
        </is>
      </c>
      <c r="E466" s="8" t="n"/>
      <c r="F466" s="8" t="n"/>
      <c r="G466" s="8">
        <f>IF(OR(ISBLANK(E466),ISBLANK(F466)),"",IF(E466&gt;F466,"Local",IF(E466=F466,"Empate","Visitante")))</f>
        <v/>
      </c>
      <c r="H466" s="8">
        <f>IF(VLOOKUP(B466,PARTIDOS!$A:$I,9,FALSE)="Cerrado",IF(G466=VLOOKUP(B466,PARTIDOS!$A:$I,8,FALSE),IF(AND(E466=VLOOKUP(B466,PARTIDOS!$A:$I,6,FALSE),F466=VLOOKUP(B466,PARTIDOS!$A:$I,7,FALSE)),3,1),0),"")</f>
        <v/>
      </c>
    </row>
    <row r="467" ht="20.1" customHeight="1">
      <c r="A467" s="12" t="inlineStr">
        <is>
          <t>Jugador 7</t>
        </is>
      </c>
      <c r="B467" s="8" t="inlineStr">
        <is>
          <t>M34</t>
        </is>
      </c>
      <c r="C467" s="12" t="inlineStr">
        <is>
          <t>Suiza</t>
        </is>
      </c>
      <c r="D467" s="12" t="inlineStr">
        <is>
          <t>Serbia</t>
        </is>
      </c>
      <c r="E467" s="8" t="n"/>
      <c r="F467" s="8" t="n"/>
      <c r="G467" s="8">
        <f>IF(OR(ISBLANK(E467),ISBLANK(F467)),"",IF(E467&gt;F467,"Local",IF(E467=F467,"Empate","Visitante")))</f>
        <v/>
      </c>
      <c r="H467" s="8">
        <f>IF(VLOOKUP(B467,PARTIDOS!$A:$I,9,FALSE)="Cerrado",IF(G467=VLOOKUP(B467,PARTIDOS!$A:$I,8,FALSE),IF(AND(E467=VLOOKUP(B467,PARTIDOS!$A:$I,6,FALSE),F467=VLOOKUP(B467,PARTIDOS!$A:$I,7,FALSE)),3,1),0),"")</f>
        <v/>
      </c>
    </row>
    <row r="468" ht="20.1" customHeight="1">
      <c r="A468" s="12" t="inlineStr">
        <is>
          <t>Jugador 7</t>
        </is>
      </c>
      <c r="B468" s="8" t="inlineStr">
        <is>
          <t>M35</t>
        </is>
      </c>
      <c r="C468" s="12" t="inlineStr">
        <is>
          <t>Croacia</t>
        </is>
      </c>
      <c r="D468" s="12" t="inlineStr">
        <is>
          <t>Serbia</t>
        </is>
      </c>
      <c r="E468" s="8" t="n"/>
      <c r="F468" s="8" t="n"/>
      <c r="G468" s="8">
        <f>IF(OR(ISBLANK(E468),ISBLANK(F468)),"",IF(E468&gt;F468,"Local",IF(E468=F468,"Empate","Visitante")))</f>
        <v/>
      </c>
      <c r="H468" s="8">
        <f>IF(VLOOKUP(B468,PARTIDOS!$A:$I,9,FALSE)="Cerrado",IF(G468=VLOOKUP(B468,PARTIDOS!$A:$I,8,FALSE),IF(AND(E468=VLOOKUP(B468,PARTIDOS!$A:$I,6,FALSE),F468=VLOOKUP(B468,PARTIDOS!$A:$I,7,FALSE)),3,1),0),"")</f>
        <v/>
      </c>
    </row>
    <row r="469" ht="20.1" customHeight="1">
      <c r="A469" s="12" t="inlineStr">
        <is>
          <t>Jugador 7</t>
        </is>
      </c>
      <c r="B469" s="8" t="inlineStr">
        <is>
          <t>M36</t>
        </is>
      </c>
      <c r="C469" s="12" t="inlineStr">
        <is>
          <t>Suiza</t>
        </is>
      </c>
      <c r="D469" s="12" t="inlineStr">
        <is>
          <t>Dinamarca</t>
        </is>
      </c>
      <c r="E469" s="8" t="n"/>
      <c r="F469" s="8" t="n"/>
      <c r="G469" s="8">
        <f>IF(OR(ISBLANK(E469),ISBLANK(F469)),"",IF(E469&gt;F469,"Local",IF(E469=F469,"Empate","Visitante")))</f>
        <v/>
      </c>
      <c r="H469" s="8">
        <f>IF(VLOOKUP(B469,PARTIDOS!$A:$I,9,FALSE)="Cerrado",IF(G469=VLOOKUP(B469,PARTIDOS!$A:$I,8,FALSE),IF(AND(E469=VLOOKUP(B469,PARTIDOS!$A:$I,6,FALSE),F469=VLOOKUP(B469,PARTIDOS!$A:$I,7,FALSE)),3,1),0),"")</f>
        <v/>
      </c>
    </row>
    <row r="470" ht="20.1" customHeight="1">
      <c r="A470" s="12" t="inlineStr">
        <is>
          <t>Jugador 7</t>
        </is>
      </c>
      <c r="B470" s="8" t="inlineStr">
        <is>
          <t>M37</t>
        </is>
      </c>
      <c r="C470" s="12" t="inlineStr">
        <is>
          <t>Polonia</t>
        </is>
      </c>
      <c r="D470" s="12" t="inlineStr">
        <is>
          <t>Ucrania</t>
        </is>
      </c>
      <c r="E470" s="8" t="n"/>
      <c r="F470" s="8" t="n"/>
      <c r="G470" s="8">
        <f>IF(OR(ISBLANK(E470),ISBLANK(F470)),"",IF(E470&gt;F470,"Local",IF(E470=F470,"Empate","Visitante")))</f>
        <v/>
      </c>
      <c r="H470" s="8">
        <f>IF(VLOOKUP(B470,PARTIDOS!$A:$I,9,FALSE)="Cerrado",IF(G470=VLOOKUP(B470,PARTIDOS!$A:$I,8,FALSE),IF(AND(E470=VLOOKUP(B470,PARTIDOS!$A:$I,6,FALSE),F470=VLOOKUP(B470,PARTIDOS!$A:$I,7,FALSE)),3,1),0),"")</f>
        <v/>
      </c>
    </row>
    <row r="471" ht="20.1" customHeight="1">
      <c r="A471" s="12" t="inlineStr">
        <is>
          <t>Jugador 7</t>
        </is>
      </c>
      <c r="B471" s="8" t="inlineStr">
        <is>
          <t>M38</t>
        </is>
      </c>
      <c r="C471" s="12" t="inlineStr">
        <is>
          <t>Suecia</t>
        </is>
      </c>
      <c r="D471" s="12" t="inlineStr">
        <is>
          <t>Gales</t>
        </is>
      </c>
      <c r="E471" s="8" t="n"/>
      <c r="F471" s="8" t="n"/>
      <c r="G471" s="8">
        <f>IF(OR(ISBLANK(E471),ISBLANK(F471)),"",IF(E471&gt;F471,"Local",IF(E471=F471,"Empate","Visitante")))</f>
        <v/>
      </c>
      <c r="H471" s="8">
        <f>IF(VLOOKUP(B471,PARTIDOS!$A:$I,9,FALSE)="Cerrado",IF(G471=VLOOKUP(B471,PARTIDOS!$A:$I,8,FALSE),IF(AND(E471=VLOOKUP(B471,PARTIDOS!$A:$I,6,FALSE),F471=VLOOKUP(B471,PARTIDOS!$A:$I,7,FALSE)),3,1),0),"")</f>
        <v/>
      </c>
    </row>
    <row r="472" ht="20.1" customHeight="1">
      <c r="A472" s="12" t="inlineStr">
        <is>
          <t>Jugador 7</t>
        </is>
      </c>
      <c r="B472" s="8" t="inlineStr">
        <is>
          <t>M39</t>
        </is>
      </c>
      <c r="C472" s="12" t="inlineStr">
        <is>
          <t>Polonia</t>
        </is>
      </c>
      <c r="D472" s="12" t="inlineStr">
        <is>
          <t>Suecia</t>
        </is>
      </c>
      <c r="E472" s="8" t="n"/>
      <c r="F472" s="8" t="n"/>
      <c r="G472" s="8">
        <f>IF(OR(ISBLANK(E472),ISBLANK(F472)),"",IF(E472&gt;F472,"Local",IF(E472=F472,"Empate","Visitante")))</f>
        <v/>
      </c>
      <c r="H472" s="8">
        <f>IF(VLOOKUP(B472,PARTIDOS!$A:$I,9,FALSE)="Cerrado",IF(G472=VLOOKUP(B472,PARTIDOS!$A:$I,8,FALSE),IF(AND(E472=VLOOKUP(B472,PARTIDOS!$A:$I,6,FALSE),F472=VLOOKUP(B472,PARTIDOS!$A:$I,7,FALSE)),3,1),0),"")</f>
        <v/>
      </c>
    </row>
    <row r="473" ht="20.1" customHeight="1">
      <c r="A473" s="12" t="inlineStr">
        <is>
          <t>Jugador 7</t>
        </is>
      </c>
      <c r="B473" s="8" t="inlineStr">
        <is>
          <t>M40</t>
        </is>
      </c>
      <c r="C473" s="12" t="inlineStr">
        <is>
          <t>Ucrania</t>
        </is>
      </c>
      <c r="D473" s="12" t="inlineStr">
        <is>
          <t>Gales</t>
        </is>
      </c>
      <c r="E473" s="8" t="n"/>
      <c r="F473" s="8" t="n"/>
      <c r="G473" s="8">
        <f>IF(OR(ISBLANK(E473),ISBLANK(F473)),"",IF(E473&gt;F473,"Local",IF(E473=F473,"Empate","Visitante")))</f>
        <v/>
      </c>
      <c r="H473" s="8">
        <f>IF(VLOOKUP(B473,PARTIDOS!$A:$I,9,FALSE)="Cerrado",IF(G473=VLOOKUP(B473,PARTIDOS!$A:$I,8,FALSE),IF(AND(E473=VLOOKUP(B473,PARTIDOS!$A:$I,6,FALSE),F473=VLOOKUP(B473,PARTIDOS!$A:$I,7,FALSE)),3,1),0),"")</f>
        <v/>
      </c>
    </row>
    <row r="474" ht="20.1" customHeight="1">
      <c r="A474" s="12" t="inlineStr">
        <is>
          <t>Jugador 7</t>
        </is>
      </c>
      <c r="B474" s="8" t="inlineStr">
        <is>
          <t>M41</t>
        </is>
      </c>
      <c r="C474" s="12" t="inlineStr">
        <is>
          <t>Polonia</t>
        </is>
      </c>
      <c r="D474" s="12" t="inlineStr">
        <is>
          <t>Gales</t>
        </is>
      </c>
      <c r="E474" s="8" t="n"/>
      <c r="F474" s="8" t="n"/>
      <c r="G474" s="8">
        <f>IF(OR(ISBLANK(E474),ISBLANK(F474)),"",IF(E474&gt;F474,"Local",IF(E474=F474,"Empate","Visitante")))</f>
        <v/>
      </c>
      <c r="H474" s="8">
        <f>IF(VLOOKUP(B474,PARTIDOS!$A:$I,9,FALSE)="Cerrado",IF(G474=VLOOKUP(B474,PARTIDOS!$A:$I,8,FALSE),IF(AND(E474=VLOOKUP(B474,PARTIDOS!$A:$I,6,FALSE),F474=VLOOKUP(B474,PARTIDOS!$A:$I,7,FALSE)),3,1),0),"")</f>
        <v/>
      </c>
    </row>
    <row r="475" ht="20.1" customHeight="1">
      <c r="A475" s="12" t="inlineStr">
        <is>
          <t>Jugador 7</t>
        </is>
      </c>
      <c r="B475" s="8" t="inlineStr">
        <is>
          <t>M42</t>
        </is>
      </c>
      <c r="C475" s="12" t="inlineStr">
        <is>
          <t>Ucrania</t>
        </is>
      </c>
      <c r="D475" s="12" t="inlineStr">
        <is>
          <t>Suecia</t>
        </is>
      </c>
      <c r="E475" s="8" t="n"/>
      <c r="F475" s="8" t="n"/>
      <c r="G475" s="8">
        <f>IF(OR(ISBLANK(E475),ISBLANK(F475)),"",IF(E475&gt;F475,"Local",IF(E475=F475,"Empate","Visitante")))</f>
        <v/>
      </c>
      <c r="H475" s="8">
        <f>IF(VLOOKUP(B475,PARTIDOS!$A:$I,9,FALSE)="Cerrado",IF(G475=VLOOKUP(B475,PARTIDOS!$A:$I,8,FALSE),IF(AND(E475=VLOOKUP(B475,PARTIDOS!$A:$I,6,FALSE),F475=VLOOKUP(B475,PARTIDOS!$A:$I,7,FALSE)),3,1),0),"")</f>
        <v/>
      </c>
    </row>
    <row r="476" ht="20.1" customHeight="1">
      <c r="A476" s="12" t="inlineStr">
        <is>
          <t>Jugador 7</t>
        </is>
      </c>
      <c r="B476" s="8" t="inlineStr">
        <is>
          <t>M43</t>
        </is>
      </c>
      <c r="C476" s="12" t="inlineStr">
        <is>
          <t>Austria</t>
        </is>
      </c>
      <c r="D476" s="12" t="inlineStr">
        <is>
          <t>Hungría</t>
        </is>
      </c>
      <c r="E476" s="8" t="n"/>
      <c r="F476" s="8" t="n"/>
      <c r="G476" s="8">
        <f>IF(OR(ISBLANK(E476),ISBLANK(F476)),"",IF(E476&gt;F476,"Local",IF(E476=F476,"Empate","Visitante")))</f>
        <v/>
      </c>
      <c r="H476" s="8">
        <f>IF(VLOOKUP(B476,PARTIDOS!$A:$I,9,FALSE)="Cerrado",IF(G476=VLOOKUP(B476,PARTIDOS!$A:$I,8,FALSE),IF(AND(E476=VLOOKUP(B476,PARTIDOS!$A:$I,6,FALSE),F476=VLOOKUP(B476,PARTIDOS!$A:$I,7,FALSE)),3,1),0),"")</f>
        <v/>
      </c>
    </row>
    <row r="477" ht="20.1" customHeight="1">
      <c r="A477" s="12" t="inlineStr">
        <is>
          <t>Jugador 7</t>
        </is>
      </c>
      <c r="B477" s="8" t="inlineStr">
        <is>
          <t>M44</t>
        </is>
      </c>
      <c r="C477" s="12" t="inlineStr">
        <is>
          <t>Turquía</t>
        </is>
      </c>
      <c r="D477" s="12" t="inlineStr">
        <is>
          <t>Escocia</t>
        </is>
      </c>
      <c r="E477" s="8" t="n"/>
      <c r="F477" s="8" t="n"/>
      <c r="G477" s="8">
        <f>IF(OR(ISBLANK(E477),ISBLANK(F477)),"",IF(E477&gt;F477,"Local",IF(E477=F477,"Empate","Visitante")))</f>
        <v/>
      </c>
      <c r="H477" s="8">
        <f>IF(VLOOKUP(B477,PARTIDOS!$A:$I,9,FALSE)="Cerrado",IF(G477=VLOOKUP(B477,PARTIDOS!$A:$I,8,FALSE),IF(AND(E477=VLOOKUP(B477,PARTIDOS!$A:$I,6,FALSE),F477=VLOOKUP(B477,PARTIDOS!$A:$I,7,FALSE)),3,1),0),"")</f>
        <v/>
      </c>
    </row>
    <row r="478" ht="20.1" customHeight="1">
      <c r="A478" s="12" t="inlineStr">
        <is>
          <t>Jugador 7</t>
        </is>
      </c>
      <c r="B478" s="8" t="inlineStr">
        <is>
          <t>M45</t>
        </is>
      </c>
      <c r="C478" s="12" t="inlineStr">
        <is>
          <t>Austria</t>
        </is>
      </c>
      <c r="D478" s="12" t="inlineStr">
        <is>
          <t>Turquía</t>
        </is>
      </c>
      <c r="E478" s="8" t="n"/>
      <c r="F478" s="8" t="n"/>
      <c r="G478" s="8">
        <f>IF(OR(ISBLANK(E478),ISBLANK(F478)),"",IF(E478&gt;F478,"Local",IF(E478=F478,"Empate","Visitante")))</f>
        <v/>
      </c>
      <c r="H478" s="8">
        <f>IF(VLOOKUP(B478,PARTIDOS!$A:$I,9,FALSE)="Cerrado",IF(G478=VLOOKUP(B478,PARTIDOS!$A:$I,8,FALSE),IF(AND(E478=VLOOKUP(B478,PARTIDOS!$A:$I,6,FALSE),F478=VLOOKUP(B478,PARTIDOS!$A:$I,7,FALSE)),3,1),0),"")</f>
        <v/>
      </c>
    </row>
    <row r="479" ht="20.1" customHeight="1">
      <c r="A479" s="12" t="inlineStr">
        <is>
          <t>Jugador 7</t>
        </is>
      </c>
      <c r="B479" s="8" t="inlineStr">
        <is>
          <t>M46</t>
        </is>
      </c>
      <c r="C479" s="12" t="inlineStr">
        <is>
          <t>Hungría</t>
        </is>
      </c>
      <c r="D479" s="12" t="inlineStr">
        <is>
          <t>Escocia</t>
        </is>
      </c>
      <c r="E479" s="8" t="n"/>
      <c r="F479" s="8" t="n"/>
      <c r="G479" s="8">
        <f>IF(OR(ISBLANK(E479),ISBLANK(F479)),"",IF(E479&gt;F479,"Local",IF(E479=F479,"Empate","Visitante")))</f>
        <v/>
      </c>
      <c r="H479" s="8">
        <f>IF(VLOOKUP(B479,PARTIDOS!$A:$I,9,FALSE)="Cerrado",IF(G479=VLOOKUP(B479,PARTIDOS!$A:$I,8,FALSE),IF(AND(E479=VLOOKUP(B479,PARTIDOS!$A:$I,6,FALSE),F479=VLOOKUP(B479,PARTIDOS!$A:$I,7,FALSE)),3,1),0),"")</f>
        <v/>
      </c>
    </row>
    <row r="480" ht="20.1" customHeight="1">
      <c r="A480" s="12" t="inlineStr">
        <is>
          <t>Jugador 7</t>
        </is>
      </c>
      <c r="B480" s="8" t="inlineStr">
        <is>
          <t>M47</t>
        </is>
      </c>
      <c r="C480" s="12" t="inlineStr">
        <is>
          <t>Austria</t>
        </is>
      </c>
      <c r="D480" s="12" t="inlineStr">
        <is>
          <t>Escocia</t>
        </is>
      </c>
      <c r="E480" s="8" t="n"/>
      <c r="F480" s="8" t="n"/>
      <c r="G480" s="8">
        <f>IF(OR(ISBLANK(E480),ISBLANK(F480)),"",IF(E480&gt;F480,"Local",IF(E480=F480,"Empate","Visitante")))</f>
        <v/>
      </c>
      <c r="H480" s="8">
        <f>IF(VLOOKUP(B480,PARTIDOS!$A:$I,9,FALSE)="Cerrado",IF(G480=VLOOKUP(B480,PARTIDOS!$A:$I,8,FALSE),IF(AND(E480=VLOOKUP(B480,PARTIDOS!$A:$I,6,FALSE),F480=VLOOKUP(B480,PARTIDOS!$A:$I,7,FALSE)),3,1),0),"")</f>
        <v/>
      </c>
    </row>
    <row r="481" ht="20.1" customHeight="1">
      <c r="A481" s="12" t="inlineStr">
        <is>
          <t>Jugador 7</t>
        </is>
      </c>
      <c r="B481" s="8" t="inlineStr">
        <is>
          <t>M48</t>
        </is>
      </c>
      <c r="C481" s="12" t="inlineStr">
        <is>
          <t>Hungría</t>
        </is>
      </c>
      <c r="D481" s="12" t="inlineStr">
        <is>
          <t>Turquía</t>
        </is>
      </c>
      <c r="E481" s="8" t="n"/>
      <c r="F481" s="8" t="n"/>
      <c r="G481" s="8">
        <f>IF(OR(ISBLANK(E481),ISBLANK(F481)),"",IF(E481&gt;F481,"Local",IF(E481=F481,"Empate","Visitante")))</f>
        <v/>
      </c>
      <c r="H481" s="8">
        <f>IF(VLOOKUP(B481,PARTIDOS!$A:$I,9,FALSE)="Cerrado",IF(G481=VLOOKUP(B481,PARTIDOS!$A:$I,8,FALSE),IF(AND(E481=VLOOKUP(B481,PARTIDOS!$A:$I,6,FALSE),F481=VLOOKUP(B481,PARTIDOS!$A:$I,7,FALSE)),3,1),0),"")</f>
        <v/>
      </c>
    </row>
    <row r="482" ht="20.1" customHeight="1">
      <c r="A482" s="12" t="inlineStr">
        <is>
          <t>Jugador 7</t>
        </is>
      </c>
      <c r="B482" s="8" t="inlineStr">
        <is>
          <t>M49</t>
        </is>
      </c>
      <c r="C482" s="12" t="inlineStr">
        <is>
          <t>República Checa</t>
        </is>
      </c>
      <c r="D482" s="12" t="inlineStr">
        <is>
          <t>Noruega</t>
        </is>
      </c>
      <c r="E482" s="8" t="n"/>
      <c r="F482" s="8" t="n"/>
      <c r="G482" s="8">
        <f>IF(OR(ISBLANK(E482),ISBLANK(F482)),"",IF(E482&gt;F482,"Local",IF(E482=F482,"Empate","Visitante")))</f>
        <v/>
      </c>
      <c r="H482" s="8">
        <f>IF(VLOOKUP(B482,PARTIDOS!$A:$I,9,FALSE)="Cerrado",IF(G482=VLOOKUP(B482,PARTIDOS!$A:$I,8,FALSE),IF(AND(E482=VLOOKUP(B482,PARTIDOS!$A:$I,6,FALSE),F482=VLOOKUP(B482,PARTIDOS!$A:$I,7,FALSE)),3,1),0),"")</f>
        <v/>
      </c>
    </row>
    <row r="483" ht="20.1" customHeight="1">
      <c r="A483" s="12" t="inlineStr">
        <is>
          <t>Jugador 7</t>
        </is>
      </c>
      <c r="B483" s="8" t="inlineStr">
        <is>
          <t>M50</t>
        </is>
      </c>
      <c r="C483" s="12" t="inlineStr">
        <is>
          <t>Japón</t>
        </is>
      </c>
      <c r="D483" s="12" t="inlineStr">
        <is>
          <t>Irán</t>
        </is>
      </c>
      <c r="E483" s="8" t="n"/>
      <c r="F483" s="8" t="n"/>
      <c r="G483" s="8">
        <f>IF(OR(ISBLANK(E483),ISBLANK(F483)),"",IF(E483&gt;F483,"Local",IF(E483=F483,"Empate","Visitante")))</f>
        <v/>
      </c>
      <c r="H483" s="8">
        <f>IF(VLOOKUP(B483,PARTIDOS!$A:$I,9,FALSE)="Cerrado",IF(G483=VLOOKUP(B483,PARTIDOS!$A:$I,8,FALSE),IF(AND(E483=VLOOKUP(B483,PARTIDOS!$A:$I,6,FALSE),F483=VLOOKUP(B483,PARTIDOS!$A:$I,7,FALSE)),3,1),0),"")</f>
        <v/>
      </c>
    </row>
    <row r="484" ht="20.1" customHeight="1">
      <c r="A484" s="12" t="inlineStr">
        <is>
          <t>Jugador 7</t>
        </is>
      </c>
      <c r="B484" s="8" t="inlineStr">
        <is>
          <t>M51</t>
        </is>
      </c>
      <c r="C484" s="12" t="inlineStr">
        <is>
          <t>República Checa</t>
        </is>
      </c>
      <c r="D484" s="12" t="inlineStr">
        <is>
          <t>Japón</t>
        </is>
      </c>
      <c r="E484" s="8" t="n"/>
      <c r="F484" s="8" t="n"/>
      <c r="G484" s="8">
        <f>IF(OR(ISBLANK(E484),ISBLANK(F484)),"",IF(E484&gt;F484,"Local",IF(E484=F484,"Empate","Visitante")))</f>
        <v/>
      </c>
      <c r="H484" s="8">
        <f>IF(VLOOKUP(B484,PARTIDOS!$A:$I,9,FALSE)="Cerrado",IF(G484=VLOOKUP(B484,PARTIDOS!$A:$I,8,FALSE),IF(AND(E484=VLOOKUP(B484,PARTIDOS!$A:$I,6,FALSE),F484=VLOOKUP(B484,PARTIDOS!$A:$I,7,FALSE)),3,1),0),"")</f>
        <v/>
      </c>
    </row>
    <row r="485" ht="20.1" customHeight="1">
      <c r="A485" s="12" t="inlineStr">
        <is>
          <t>Jugador 7</t>
        </is>
      </c>
      <c r="B485" s="8" t="inlineStr">
        <is>
          <t>M52</t>
        </is>
      </c>
      <c r="C485" s="12" t="inlineStr">
        <is>
          <t>Noruega</t>
        </is>
      </c>
      <c r="D485" s="12" t="inlineStr">
        <is>
          <t>Irán</t>
        </is>
      </c>
      <c r="E485" s="8" t="n"/>
      <c r="F485" s="8" t="n"/>
      <c r="G485" s="8">
        <f>IF(OR(ISBLANK(E485),ISBLANK(F485)),"",IF(E485&gt;F485,"Local",IF(E485=F485,"Empate","Visitante")))</f>
        <v/>
      </c>
      <c r="H485" s="8">
        <f>IF(VLOOKUP(B485,PARTIDOS!$A:$I,9,FALSE)="Cerrado",IF(G485=VLOOKUP(B485,PARTIDOS!$A:$I,8,FALSE),IF(AND(E485=VLOOKUP(B485,PARTIDOS!$A:$I,6,FALSE),F485=VLOOKUP(B485,PARTIDOS!$A:$I,7,FALSE)),3,1),0),"")</f>
        <v/>
      </c>
    </row>
    <row r="486" ht="20.1" customHeight="1">
      <c r="A486" s="12" t="inlineStr">
        <is>
          <t>Jugador 7</t>
        </is>
      </c>
      <c r="B486" s="8" t="inlineStr">
        <is>
          <t>M53</t>
        </is>
      </c>
      <c r="C486" s="12" t="inlineStr">
        <is>
          <t>República Checa</t>
        </is>
      </c>
      <c r="D486" s="12" t="inlineStr">
        <is>
          <t>Irán</t>
        </is>
      </c>
      <c r="E486" s="8" t="n"/>
      <c r="F486" s="8" t="n"/>
      <c r="G486" s="8">
        <f>IF(OR(ISBLANK(E486),ISBLANK(F486)),"",IF(E486&gt;F486,"Local",IF(E486=F486,"Empate","Visitante")))</f>
        <v/>
      </c>
      <c r="H486" s="8">
        <f>IF(VLOOKUP(B486,PARTIDOS!$A:$I,9,FALSE)="Cerrado",IF(G486=VLOOKUP(B486,PARTIDOS!$A:$I,8,FALSE),IF(AND(E486=VLOOKUP(B486,PARTIDOS!$A:$I,6,FALSE),F486=VLOOKUP(B486,PARTIDOS!$A:$I,7,FALSE)),3,1),0),"")</f>
        <v/>
      </c>
    </row>
    <row r="487" ht="20.1" customHeight="1">
      <c r="A487" s="12" t="inlineStr">
        <is>
          <t>Jugador 7</t>
        </is>
      </c>
      <c r="B487" s="8" t="inlineStr">
        <is>
          <t>M54</t>
        </is>
      </c>
      <c r="C487" s="12" t="inlineStr">
        <is>
          <t>Noruega</t>
        </is>
      </c>
      <c r="D487" s="12" t="inlineStr">
        <is>
          <t>Japón</t>
        </is>
      </c>
      <c r="E487" s="8" t="n"/>
      <c r="F487" s="8" t="n"/>
      <c r="G487" s="8">
        <f>IF(OR(ISBLANK(E487),ISBLANK(F487)),"",IF(E487&gt;F487,"Local",IF(E487=F487,"Empate","Visitante")))</f>
        <v/>
      </c>
      <c r="H487" s="8">
        <f>IF(VLOOKUP(B487,PARTIDOS!$A:$I,9,FALSE)="Cerrado",IF(G487=VLOOKUP(B487,PARTIDOS!$A:$I,8,FALSE),IF(AND(E487=VLOOKUP(B487,PARTIDOS!$A:$I,6,FALSE),F487=VLOOKUP(B487,PARTIDOS!$A:$I,7,FALSE)),3,1),0),"")</f>
        <v/>
      </c>
    </row>
    <row r="488" ht="20.1" customHeight="1">
      <c r="A488" s="12" t="inlineStr">
        <is>
          <t>Jugador 7</t>
        </is>
      </c>
      <c r="B488" s="8" t="inlineStr">
        <is>
          <t>M55</t>
        </is>
      </c>
      <c r="C488" s="12" t="inlineStr">
        <is>
          <t>Corea del Sur</t>
        </is>
      </c>
      <c r="D488" s="12" t="inlineStr">
        <is>
          <t>Australia</t>
        </is>
      </c>
      <c r="E488" s="8" t="n"/>
      <c r="F488" s="8" t="n"/>
      <c r="G488" s="8">
        <f>IF(OR(ISBLANK(E488),ISBLANK(F488)),"",IF(E488&gt;F488,"Local",IF(E488=F488,"Empate","Visitante")))</f>
        <v/>
      </c>
      <c r="H488" s="8">
        <f>IF(VLOOKUP(B488,PARTIDOS!$A:$I,9,FALSE)="Cerrado",IF(G488=VLOOKUP(B488,PARTIDOS!$A:$I,8,FALSE),IF(AND(E488=VLOOKUP(B488,PARTIDOS!$A:$I,6,FALSE),F488=VLOOKUP(B488,PARTIDOS!$A:$I,7,FALSE)),3,1),0),"")</f>
        <v/>
      </c>
    </row>
    <row r="489" ht="20.1" customHeight="1">
      <c r="A489" s="12" t="inlineStr">
        <is>
          <t>Jugador 7</t>
        </is>
      </c>
      <c r="B489" s="8" t="inlineStr">
        <is>
          <t>M56</t>
        </is>
      </c>
      <c r="C489" s="12" t="inlineStr">
        <is>
          <t>Marruecos</t>
        </is>
      </c>
      <c r="D489" s="12" t="inlineStr">
        <is>
          <t>Senegal</t>
        </is>
      </c>
      <c r="E489" s="8" t="n"/>
      <c r="F489" s="8" t="n"/>
      <c r="G489" s="8">
        <f>IF(OR(ISBLANK(E489),ISBLANK(F489)),"",IF(E489&gt;F489,"Local",IF(E489=F489,"Empate","Visitante")))</f>
        <v/>
      </c>
      <c r="H489" s="8">
        <f>IF(VLOOKUP(B489,PARTIDOS!$A:$I,9,FALSE)="Cerrado",IF(G489=VLOOKUP(B489,PARTIDOS!$A:$I,8,FALSE),IF(AND(E489=VLOOKUP(B489,PARTIDOS!$A:$I,6,FALSE),F489=VLOOKUP(B489,PARTIDOS!$A:$I,7,FALSE)),3,1),0),"")</f>
        <v/>
      </c>
    </row>
    <row r="490" ht="20.1" customHeight="1">
      <c r="A490" s="12" t="inlineStr">
        <is>
          <t>Jugador 7</t>
        </is>
      </c>
      <c r="B490" s="8" t="inlineStr">
        <is>
          <t>M57</t>
        </is>
      </c>
      <c r="C490" s="12" t="inlineStr">
        <is>
          <t>Corea del Sur</t>
        </is>
      </c>
      <c r="D490" s="12" t="inlineStr">
        <is>
          <t>Marruecos</t>
        </is>
      </c>
      <c r="E490" s="8" t="n"/>
      <c r="F490" s="8" t="n"/>
      <c r="G490" s="8">
        <f>IF(OR(ISBLANK(E490),ISBLANK(F490)),"",IF(E490&gt;F490,"Local",IF(E490=F490,"Empate","Visitante")))</f>
        <v/>
      </c>
      <c r="H490" s="8">
        <f>IF(VLOOKUP(B490,PARTIDOS!$A:$I,9,FALSE)="Cerrado",IF(G490=VLOOKUP(B490,PARTIDOS!$A:$I,8,FALSE),IF(AND(E490=VLOOKUP(B490,PARTIDOS!$A:$I,6,FALSE),F490=VLOOKUP(B490,PARTIDOS!$A:$I,7,FALSE)),3,1),0),"")</f>
        <v/>
      </c>
    </row>
    <row r="491" ht="20.1" customHeight="1">
      <c r="A491" s="12" t="inlineStr">
        <is>
          <t>Jugador 7</t>
        </is>
      </c>
      <c r="B491" s="8" t="inlineStr">
        <is>
          <t>M58</t>
        </is>
      </c>
      <c r="C491" s="12" t="inlineStr">
        <is>
          <t>Australia</t>
        </is>
      </c>
      <c r="D491" s="12" t="inlineStr">
        <is>
          <t>Senegal</t>
        </is>
      </c>
      <c r="E491" s="8" t="n"/>
      <c r="F491" s="8" t="n"/>
      <c r="G491" s="8">
        <f>IF(OR(ISBLANK(E491),ISBLANK(F491)),"",IF(E491&gt;F491,"Local",IF(E491=F491,"Empate","Visitante")))</f>
        <v/>
      </c>
      <c r="H491" s="8">
        <f>IF(VLOOKUP(B491,PARTIDOS!$A:$I,9,FALSE)="Cerrado",IF(G491=VLOOKUP(B491,PARTIDOS!$A:$I,8,FALSE),IF(AND(E491=VLOOKUP(B491,PARTIDOS!$A:$I,6,FALSE),F491=VLOOKUP(B491,PARTIDOS!$A:$I,7,FALSE)),3,1),0),"")</f>
        <v/>
      </c>
    </row>
    <row r="492" ht="20.1" customHeight="1">
      <c r="A492" s="12" t="inlineStr">
        <is>
          <t>Jugador 7</t>
        </is>
      </c>
      <c r="B492" s="8" t="inlineStr">
        <is>
          <t>M59</t>
        </is>
      </c>
      <c r="C492" s="12" t="inlineStr">
        <is>
          <t>Corea del Sur</t>
        </is>
      </c>
      <c r="D492" s="12" t="inlineStr">
        <is>
          <t>Senegal</t>
        </is>
      </c>
      <c r="E492" s="8" t="n"/>
      <c r="F492" s="8" t="n"/>
      <c r="G492" s="8">
        <f>IF(OR(ISBLANK(E492),ISBLANK(F492)),"",IF(E492&gt;F492,"Local",IF(E492=F492,"Empate","Visitante")))</f>
        <v/>
      </c>
      <c r="H492" s="8">
        <f>IF(VLOOKUP(B492,PARTIDOS!$A:$I,9,FALSE)="Cerrado",IF(G492=VLOOKUP(B492,PARTIDOS!$A:$I,8,FALSE),IF(AND(E492=VLOOKUP(B492,PARTIDOS!$A:$I,6,FALSE),F492=VLOOKUP(B492,PARTIDOS!$A:$I,7,FALSE)),3,1),0),"")</f>
        <v/>
      </c>
    </row>
    <row r="493" ht="20.1" customHeight="1">
      <c r="A493" s="12" t="inlineStr">
        <is>
          <t>Jugador 7</t>
        </is>
      </c>
      <c r="B493" s="8" t="inlineStr">
        <is>
          <t>M60</t>
        </is>
      </c>
      <c r="C493" s="12" t="inlineStr">
        <is>
          <t>Australia</t>
        </is>
      </c>
      <c r="D493" s="12" t="inlineStr">
        <is>
          <t>Marruecos</t>
        </is>
      </c>
      <c r="E493" s="8" t="n"/>
      <c r="F493" s="8" t="n"/>
      <c r="G493" s="8">
        <f>IF(OR(ISBLANK(E493),ISBLANK(F493)),"",IF(E493&gt;F493,"Local",IF(E493=F493,"Empate","Visitante")))</f>
        <v/>
      </c>
      <c r="H493" s="8">
        <f>IF(VLOOKUP(B493,PARTIDOS!$A:$I,9,FALSE)="Cerrado",IF(G493=VLOOKUP(B493,PARTIDOS!$A:$I,8,FALSE),IF(AND(E493=VLOOKUP(B493,PARTIDOS!$A:$I,6,FALSE),F493=VLOOKUP(B493,PARTIDOS!$A:$I,7,FALSE)),3,1),0),"")</f>
        <v/>
      </c>
    </row>
    <row r="494" ht="20.1" customHeight="1">
      <c r="A494" s="12" t="inlineStr">
        <is>
          <t>Jugador 7</t>
        </is>
      </c>
      <c r="B494" s="8" t="inlineStr">
        <is>
          <t>M61</t>
        </is>
      </c>
      <c r="C494" s="12" t="inlineStr">
        <is>
          <t>Túnez</t>
        </is>
      </c>
      <c r="D494" s="12" t="inlineStr">
        <is>
          <t>Nigeria</t>
        </is>
      </c>
      <c r="E494" s="8" t="n"/>
      <c r="F494" s="8" t="n"/>
      <c r="G494" s="8">
        <f>IF(OR(ISBLANK(E494),ISBLANK(F494)),"",IF(E494&gt;F494,"Local",IF(E494=F494,"Empate","Visitante")))</f>
        <v/>
      </c>
      <c r="H494" s="8">
        <f>IF(VLOOKUP(B494,PARTIDOS!$A:$I,9,FALSE)="Cerrado",IF(G494=VLOOKUP(B494,PARTIDOS!$A:$I,8,FALSE),IF(AND(E494=VLOOKUP(B494,PARTIDOS!$A:$I,6,FALSE),F494=VLOOKUP(B494,PARTIDOS!$A:$I,7,FALSE)),3,1),0),"")</f>
        <v/>
      </c>
    </row>
    <row r="495" ht="20.1" customHeight="1">
      <c r="A495" s="12" t="inlineStr">
        <is>
          <t>Jugador 7</t>
        </is>
      </c>
      <c r="B495" s="8" t="inlineStr">
        <is>
          <t>M62</t>
        </is>
      </c>
      <c r="C495" s="12" t="inlineStr">
        <is>
          <t>Camerún</t>
        </is>
      </c>
      <c r="D495" s="12" t="inlineStr">
        <is>
          <t>Egipto</t>
        </is>
      </c>
      <c r="E495" s="8" t="n"/>
      <c r="F495" s="8" t="n"/>
      <c r="G495" s="8">
        <f>IF(OR(ISBLANK(E495),ISBLANK(F495)),"",IF(E495&gt;F495,"Local",IF(E495=F495,"Empate","Visitante")))</f>
        <v/>
      </c>
      <c r="H495" s="8">
        <f>IF(VLOOKUP(B495,PARTIDOS!$A:$I,9,FALSE)="Cerrado",IF(G495=VLOOKUP(B495,PARTIDOS!$A:$I,8,FALSE),IF(AND(E495=VLOOKUP(B495,PARTIDOS!$A:$I,6,FALSE),F495=VLOOKUP(B495,PARTIDOS!$A:$I,7,FALSE)),3,1),0),"")</f>
        <v/>
      </c>
    </row>
    <row r="496" ht="20.1" customHeight="1">
      <c r="A496" s="12" t="inlineStr">
        <is>
          <t>Jugador 7</t>
        </is>
      </c>
      <c r="B496" s="8" t="inlineStr">
        <is>
          <t>M63</t>
        </is>
      </c>
      <c r="C496" s="12" t="inlineStr">
        <is>
          <t>Túnez</t>
        </is>
      </c>
      <c r="D496" s="12" t="inlineStr">
        <is>
          <t>Camerún</t>
        </is>
      </c>
      <c r="E496" s="8" t="n"/>
      <c r="F496" s="8" t="n"/>
      <c r="G496" s="8">
        <f>IF(OR(ISBLANK(E496),ISBLANK(F496)),"",IF(E496&gt;F496,"Local",IF(E496=F496,"Empate","Visitante")))</f>
        <v/>
      </c>
      <c r="H496" s="8">
        <f>IF(VLOOKUP(B496,PARTIDOS!$A:$I,9,FALSE)="Cerrado",IF(G496=VLOOKUP(B496,PARTIDOS!$A:$I,8,FALSE),IF(AND(E496=VLOOKUP(B496,PARTIDOS!$A:$I,6,FALSE),F496=VLOOKUP(B496,PARTIDOS!$A:$I,7,FALSE)),3,1),0),"")</f>
        <v/>
      </c>
    </row>
    <row r="497" ht="20.1" customHeight="1">
      <c r="A497" s="12" t="inlineStr">
        <is>
          <t>Jugador 7</t>
        </is>
      </c>
      <c r="B497" s="8" t="inlineStr">
        <is>
          <t>M64</t>
        </is>
      </c>
      <c r="C497" s="12" t="inlineStr">
        <is>
          <t>Nigeria</t>
        </is>
      </c>
      <c r="D497" s="12" t="inlineStr">
        <is>
          <t>Egipto</t>
        </is>
      </c>
      <c r="E497" s="8" t="n"/>
      <c r="F497" s="8" t="n"/>
      <c r="G497" s="8">
        <f>IF(OR(ISBLANK(E497),ISBLANK(F497)),"",IF(E497&gt;F497,"Local",IF(E497=F497,"Empate","Visitante")))</f>
        <v/>
      </c>
      <c r="H497" s="8">
        <f>IF(VLOOKUP(B497,PARTIDOS!$A:$I,9,FALSE)="Cerrado",IF(G497=VLOOKUP(B497,PARTIDOS!$A:$I,8,FALSE),IF(AND(E497=VLOOKUP(B497,PARTIDOS!$A:$I,6,FALSE),F497=VLOOKUP(B497,PARTIDOS!$A:$I,7,FALSE)),3,1),0),"")</f>
        <v/>
      </c>
    </row>
    <row r="498" ht="20.1" customHeight="1">
      <c r="A498" s="12" t="inlineStr">
        <is>
          <t>Jugador 7</t>
        </is>
      </c>
      <c r="B498" s="8" t="inlineStr">
        <is>
          <t>M65</t>
        </is>
      </c>
      <c r="C498" s="12" t="inlineStr">
        <is>
          <t>Túnez</t>
        </is>
      </c>
      <c r="D498" s="12" t="inlineStr">
        <is>
          <t>Egipto</t>
        </is>
      </c>
      <c r="E498" s="8" t="n"/>
      <c r="F498" s="8" t="n"/>
      <c r="G498" s="8">
        <f>IF(OR(ISBLANK(E498),ISBLANK(F498)),"",IF(E498&gt;F498,"Local",IF(E498=F498,"Empate","Visitante")))</f>
        <v/>
      </c>
      <c r="H498" s="8">
        <f>IF(VLOOKUP(B498,PARTIDOS!$A:$I,9,FALSE)="Cerrado",IF(G498=VLOOKUP(B498,PARTIDOS!$A:$I,8,FALSE),IF(AND(E498=VLOOKUP(B498,PARTIDOS!$A:$I,6,FALSE),F498=VLOOKUP(B498,PARTIDOS!$A:$I,7,FALSE)),3,1),0),"")</f>
        <v/>
      </c>
    </row>
    <row r="499" ht="20.1" customHeight="1">
      <c r="A499" s="12" t="inlineStr">
        <is>
          <t>Jugador 7</t>
        </is>
      </c>
      <c r="B499" s="8" t="inlineStr">
        <is>
          <t>M66</t>
        </is>
      </c>
      <c r="C499" s="12" t="inlineStr">
        <is>
          <t>Nigeria</t>
        </is>
      </c>
      <c r="D499" s="12" t="inlineStr">
        <is>
          <t>Camerún</t>
        </is>
      </c>
      <c r="E499" s="8" t="n"/>
      <c r="F499" s="8" t="n"/>
      <c r="G499" s="8">
        <f>IF(OR(ISBLANK(E499),ISBLANK(F499)),"",IF(E499&gt;F499,"Local",IF(E499=F499,"Empate","Visitante")))</f>
        <v/>
      </c>
      <c r="H499" s="8">
        <f>IF(VLOOKUP(B499,PARTIDOS!$A:$I,9,FALSE)="Cerrado",IF(G499=VLOOKUP(B499,PARTIDOS!$A:$I,8,FALSE),IF(AND(E499=VLOOKUP(B499,PARTIDOS!$A:$I,6,FALSE),F499=VLOOKUP(B499,PARTIDOS!$A:$I,7,FALSE)),3,1),0),"")</f>
        <v/>
      </c>
    </row>
    <row r="500" ht="20.1" customHeight="1">
      <c r="A500" s="12" t="inlineStr">
        <is>
          <t>Jugador 7</t>
        </is>
      </c>
      <c r="B500" s="8" t="inlineStr">
        <is>
          <t>M67</t>
        </is>
      </c>
      <c r="C500" s="12" t="inlineStr">
        <is>
          <t>Costa de Marfil</t>
        </is>
      </c>
      <c r="D500" s="12" t="inlineStr">
        <is>
          <t>Sudáfrica</t>
        </is>
      </c>
      <c r="E500" s="8" t="n"/>
      <c r="F500" s="8" t="n"/>
      <c r="G500" s="8">
        <f>IF(OR(ISBLANK(E500),ISBLANK(F500)),"",IF(E500&gt;F500,"Local",IF(E500=F500,"Empate","Visitante")))</f>
        <v/>
      </c>
      <c r="H500" s="8">
        <f>IF(VLOOKUP(B500,PARTIDOS!$A:$I,9,FALSE)="Cerrado",IF(G500=VLOOKUP(B500,PARTIDOS!$A:$I,8,FALSE),IF(AND(E500=VLOOKUP(B500,PARTIDOS!$A:$I,6,FALSE),F500=VLOOKUP(B500,PARTIDOS!$A:$I,7,FALSE)),3,1),0),"")</f>
        <v/>
      </c>
    </row>
    <row r="501" ht="20.1" customHeight="1">
      <c r="A501" s="12" t="inlineStr">
        <is>
          <t>Jugador 7</t>
        </is>
      </c>
      <c r="B501" s="8" t="inlineStr">
        <is>
          <t>M68</t>
        </is>
      </c>
      <c r="C501" s="12" t="inlineStr">
        <is>
          <t>Panáma</t>
        </is>
      </c>
      <c r="D501" s="12" t="inlineStr">
        <is>
          <t>Nueva Zelanda</t>
        </is>
      </c>
      <c r="E501" s="8" t="n"/>
      <c r="F501" s="8" t="n"/>
      <c r="G501" s="8">
        <f>IF(OR(ISBLANK(E501),ISBLANK(F501)),"",IF(E501&gt;F501,"Local",IF(E501=F501,"Empate","Visitante")))</f>
        <v/>
      </c>
      <c r="H501" s="8">
        <f>IF(VLOOKUP(B501,PARTIDOS!$A:$I,9,FALSE)="Cerrado",IF(G501=VLOOKUP(B501,PARTIDOS!$A:$I,8,FALSE),IF(AND(E501=VLOOKUP(B501,PARTIDOS!$A:$I,6,FALSE),F501=VLOOKUP(B501,PARTIDOS!$A:$I,7,FALSE)),3,1),0),"")</f>
        <v/>
      </c>
    </row>
    <row r="502" ht="20.1" customHeight="1">
      <c r="A502" s="12" t="inlineStr">
        <is>
          <t>Jugador 7</t>
        </is>
      </c>
      <c r="B502" s="8" t="inlineStr">
        <is>
          <t>M69</t>
        </is>
      </c>
      <c r="C502" s="12" t="inlineStr">
        <is>
          <t>Costa de Marfil</t>
        </is>
      </c>
      <c r="D502" s="12" t="inlineStr">
        <is>
          <t>Panáma</t>
        </is>
      </c>
      <c r="E502" s="8" t="n"/>
      <c r="F502" s="8" t="n"/>
      <c r="G502" s="8">
        <f>IF(OR(ISBLANK(E502),ISBLANK(F502)),"",IF(E502&gt;F502,"Local",IF(E502=F502,"Empate","Visitante")))</f>
        <v/>
      </c>
      <c r="H502" s="8">
        <f>IF(VLOOKUP(B502,PARTIDOS!$A:$I,9,FALSE)="Cerrado",IF(G502=VLOOKUP(B502,PARTIDOS!$A:$I,8,FALSE),IF(AND(E502=VLOOKUP(B502,PARTIDOS!$A:$I,6,FALSE),F502=VLOOKUP(B502,PARTIDOS!$A:$I,7,FALSE)),3,1),0),"")</f>
        <v/>
      </c>
    </row>
    <row r="503" ht="20.1" customHeight="1">
      <c r="A503" s="12" t="inlineStr">
        <is>
          <t>Jugador 7</t>
        </is>
      </c>
      <c r="B503" s="8" t="inlineStr">
        <is>
          <t>M70</t>
        </is>
      </c>
      <c r="C503" s="12" t="inlineStr">
        <is>
          <t>Sudáfrica</t>
        </is>
      </c>
      <c r="D503" s="12" t="inlineStr">
        <is>
          <t>Nueva Zelanda</t>
        </is>
      </c>
      <c r="E503" s="8" t="n"/>
      <c r="F503" s="8" t="n"/>
      <c r="G503" s="8">
        <f>IF(OR(ISBLANK(E503),ISBLANK(F503)),"",IF(E503&gt;F503,"Local",IF(E503=F503,"Empate","Visitante")))</f>
        <v/>
      </c>
      <c r="H503" s="8">
        <f>IF(VLOOKUP(B503,PARTIDOS!$A:$I,9,FALSE)="Cerrado",IF(G503=VLOOKUP(B503,PARTIDOS!$A:$I,8,FALSE),IF(AND(E503=VLOOKUP(B503,PARTIDOS!$A:$I,6,FALSE),F503=VLOOKUP(B503,PARTIDOS!$A:$I,7,FALSE)),3,1),0),"")</f>
        <v/>
      </c>
    </row>
    <row r="504" ht="20.1" customHeight="1">
      <c r="A504" s="12" t="inlineStr">
        <is>
          <t>Jugador 7</t>
        </is>
      </c>
      <c r="B504" s="8" t="inlineStr">
        <is>
          <t>M71</t>
        </is>
      </c>
      <c r="C504" s="12" t="inlineStr">
        <is>
          <t>Costa de Marfil</t>
        </is>
      </c>
      <c r="D504" s="12" t="inlineStr">
        <is>
          <t>Nueva Zelanda</t>
        </is>
      </c>
      <c r="E504" s="8" t="n"/>
      <c r="F504" s="8" t="n"/>
      <c r="G504" s="8">
        <f>IF(OR(ISBLANK(E504),ISBLANK(F504)),"",IF(E504&gt;F504,"Local",IF(E504=F504,"Empate","Visitante")))</f>
        <v/>
      </c>
      <c r="H504" s="8">
        <f>IF(VLOOKUP(B504,PARTIDOS!$A:$I,9,FALSE)="Cerrado",IF(G504=VLOOKUP(B504,PARTIDOS!$A:$I,8,FALSE),IF(AND(E504=VLOOKUP(B504,PARTIDOS!$A:$I,6,FALSE),F504=VLOOKUP(B504,PARTIDOS!$A:$I,7,FALSE)),3,1),0),"")</f>
        <v/>
      </c>
    </row>
    <row r="505" ht="20.1" customHeight="1">
      <c r="A505" s="12" t="inlineStr">
        <is>
          <t>Jugador 7</t>
        </is>
      </c>
      <c r="B505" s="8" t="inlineStr">
        <is>
          <t>M72</t>
        </is>
      </c>
      <c r="C505" s="12" t="inlineStr">
        <is>
          <t>Sudáfrica</t>
        </is>
      </c>
      <c r="D505" s="12" t="inlineStr">
        <is>
          <t>Panáma</t>
        </is>
      </c>
      <c r="E505" s="8" t="n"/>
      <c r="F505" s="8" t="n"/>
      <c r="G505" s="8">
        <f>IF(OR(ISBLANK(E505),ISBLANK(F505)),"",IF(E505&gt;F505,"Local",IF(E505=F505,"Empate","Visitante")))</f>
        <v/>
      </c>
      <c r="H505" s="8">
        <f>IF(VLOOKUP(B505,PARTIDOS!$A:$I,9,FALSE)="Cerrado",IF(G505=VLOOKUP(B505,PARTIDOS!$A:$I,8,FALSE),IF(AND(E505=VLOOKUP(B505,PARTIDOS!$A:$I,6,FALSE),F505=VLOOKUP(B505,PARTIDOS!$A:$I,7,FALSE)),3,1),0),"")</f>
        <v/>
      </c>
    </row>
    <row r="506" ht="20.1" customHeight="1">
      <c r="A506" s="12" t="inlineStr">
        <is>
          <t>Jugador 8</t>
        </is>
      </c>
      <c r="B506" s="8" t="inlineStr">
        <is>
          <t>M01</t>
        </is>
      </c>
      <c r="C506" s="12" t="inlineStr">
        <is>
          <t>México</t>
        </is>
      </c>
      <c r="D506" s="12" t="inlineStr">
        <is>
          <t>EEUU</t>
        </is>
      </c>
      <c r="E506" s="8" t="n"/>
      <c r="F506" s="8" t="n"/>
      <c r="G506" s="8">
        <f>IF(OR(ISBLANK(E506),ISBLANK(F506)),"",IF(E506&gt;F506,"Local",IF(E506=F506,"Empate","Visitante")))</f>
        <v/>
      </c>
      <c r="H506" s="8">
        <f>IF(VLOOKUP(B506,PARTIDOS!$A:$I,9,FALSE)="Cerrado",IF(G506=VLOOKUP(B506,PARTIDOS!$A:$I,8,FALSE),IF(AND(E506=VLOOKUP(B506,PARTIDOS!$A:$I,6,FALSE),F506=VLOOKUP(B506,PARTIDOS!$A:$I,7,FALSE)),3,1),0),"")</f>
        <v/>
      </c>
    </row>
    <row r="507" ht="20.1" customHeight="1">
      <c r="A507" s="12" t="inlineStr">
        <is>
          <t>Jugador 8</t>
        </is>
      </c>
      <c r="B507" s="8" t="inlineStr">
        <is>
          <t>M02</t>
        </is>
      </c>
      <c r="C507" s="12" t="inlineStr">
        <is>
          <t>Canadá</t>
        </is>
      </c>
      <c r="D507" s="12" t="inlineStr">
        <is>
          <t>Jamaica</t>
        </is>
      </c>
      <c r="E507" s="8" t="n"/>
      <c r="F507" s="8" t="n"/>
      <c r="G507" s="8">
        <f>IF(OR(ISBLANK(E507),ISBLANK(F507)),"",IF(E507&gt;F507,"Local",IF(E507=F507,"Empate","Visitante")))</f>
        <v/>
      </c>
      <c r="H507" s="8">
        <f>IF(VLOOKUP(B507,PARTIDOS!$A:$I,9,FALSE)="Cerrado",IF(G507=VLOOKUP(B507,PARTIDOS!$A:$I,8,FALSE),IF(AND(E507=VLOOKUP(B507,PARTIDOS!$A:$I,6,FALSE),F507=VLOOKUP(B507,PARTIDOS!$A:$I,7,FALSE)),3,1),0),"")</f>
        <v/>
      </c>
    </row>
    <row r="508" ht="20.1" customHeight="1">
      <c r="A508" s="12" t="inlineStr">
        <is>
          <t>Jugador 8</t>
        </is>
      </c>
      <c r="B508" s="8" t="inlineStr">
        <is>
          <t>M03</t>
        </is>
      </c>
      <c r="C508" s="12" t="inlineStr">
        <is>
          <t>México</t>
        </is>
      </c>
      <c r="D508" s="12" t="inlineStr">
        <is>
          <t>Canadá</t>
        </is>
      </c>
      <c r="E508" s="8" t="n"/>
      <c r="F508" s="8" t="n"/>
      <c r="G508" s="8">
        <f>IF(OR(ISBLANK(E508),ISBLANK(F508)),"",IF(E508&gt;F508,"Local",IF(E508=F508,"Empate","Visitante")))</f>
        <v/>
      </c>
      <c r="H508" s="8">
        <f>IF(VLOOKUP(B508,PARTIDOS!$A:$I,9,FALSE)="Cerrado",IF(G508=VLOOKUP(B508,PARTIDOS!$A:$I,8,FALSE),IF(AND(E508=VLOOKUP(B508,PARTIDOS!$A:$I,6,FALSE),F508=VLOOKUP(B508,PARTIDOS!$A:$I,7,FALSE)),3,1),0),"")</f>
        <v/>
      </c>
    </row>
    <row r="509" ht="20.1" customHeight="1">
      <c r="A509" s="12" t="inlineStr">
        <is>
          <t>Jugador 8</t>
        </is>
      </c>
      <c r="B509" s="8" t="inlineStr">
        <is>
          <t>M04</t>
        </is>
      </c>
      <c r="C509" s="12" t="inlineStr">
        <is>
          <t>EEUU</t>
        </is>
      </c>
      <c r="D509" s="12" t="inlineStr">
        <is>
          <t>Jamaica</t>
        </is>
      </c>
      <c r="E509" s="8" t="n"/>
      <c r="F509" s="8" t="n"/>
      <c r="G509" s="8">
        <f>IF(OR(ISBLANK(E509),ISBLANK(F509)),"",IF(E509&gt;F509,"Local",IF(E509=F509,"Empate","Visitante")))</f>
        <v/>
      </c>
      <c r="H509" s="8">
        <f>IF(VLOOKUP(B509,PARTIDOS!$A:$I,9,FALSE)="Cerrado",IF(G509=VLOOKUP(B509,PARTIDOS!$A:$I,8,FALSE),IF(AND(E509=VLOOKUP(B509,PARTIDOS!$A:$I,6,FALSE),F509=VLOOKUP(B509,PARTIDOS!$A:$I,7,FALSE)),3,1),0),"")</f>
        <v/>
      </c>
    </row>
    <row r="510" ht="20.1" customHeight="1">
      <c r="A510" s="12" t="inlineStr">
        <is>
          <t>Jugador 8</t>
        </is>
      </c>
      <c r="B510" s="8" t="inlineStr">
        <is>
          <t>M05</t>
        </is>
      </c>
      <c r="C510" s="12" t="inlineStr">
        <is>
          <t>México</t>
        </is>
      </c>
      <c r="D510" s="12" t="inlineStr">
        <is>
          <t>Jamaica</t>
        </is>
      </c>
      <c r="E510" s="8" t="n"/>
      <c r="F510" s="8" t="n"/>
      <c r="G510" s="8">
        <f>IF(OR(ISBLANK(E510),ISBLANK(F510)),"",IF(E510&gt;F510,"Local",IF(E510=F510,"Empate","Visitante")))</f>
        <v/>
      </c>
      <c r="H510" s="8">
        <f>IF(VLOOKUP(B510,PARTIDOS!$A:$I,9,FALSE)="Cerrado",IF(G510=VLOOKUP(B510,PARTIDOS!$A:$I,8,FALSE),IF(AND(E510=VLOOKUP(B510,PARTIDOS!$A:$I,6,FALSE),F510=VLOOKUP(B510,PARTIDOS!$A:$I,7,FALSE)),3,1),0),"")</f>
        <v/>
      </c>
    </row>
    <row r="511" ht="20.1" customHeight="1">
      <c r="A511" s="12" t="inlineStr">
        <is>
          <t>Jugador 8</t>
        </is>
      </c>
      <c r="B511" s="8" t="inlineStr">
        <is>
          <t>M06</t>
        </is>
      </c>
      <c r="C511" s="12" t="inlineStr">
        <is>
          <t>EEUU</t>
        </is>
      </c>
      <c r="D511" s="12" t="inlineStr">
        <is>
          <t>Canadá</t>
        </is>
      </c>
      <c r="E511" s="8" t="n"/>
      <c r="F511" s="8" t="n"/>
      <c r="G511" s="8">
        <f>IF(OR(ISBLANK(E511),ISBLANK(F511)),"",IF(E511&gt;F511,"Local",IF(E511=F511,"Empate","Visitante")))</f>
        <v/>
      </c>
      <c r="H511" s="8">
        <f>IF(VLOOKUP(B511,PARTIDOS!$A:$I,9,FALSE)="Cerrado",IF(G511=VLOOKUP(B511,PARTIDOS!$A:$I,8,FALSE),IF(AND(E511=VLOOKUP(B511,PARTIDOS!$A:$I,6,FALSE),F511=VLOOKUP(B511,PARTIDOS!$A:$I,7,FALSE)),3,1),0),"")</f>
        <v/>
      </c>
    </row>
    <row r="512" ht="20.1" customHeight="1">
      <c r="A512" s="12" t="inlineStr">
        <is>
          <t>Jugador 8</t>
        </is>
      </c>
      <c r="B512" s="8" t="inlineStr">
        <is>
          <t>M07</t>
        </is>
      </c>
      <c r="C512" s="12" t="inlineStr">
        <is>
          <t>Argentina</t>
        </is>
      </c>
      <c r="D512" s="12" t="inlineStr">
        <is>
          <t>Brasil</t>
        </is>
      </c>
      <c r="E512" s="8" t="n"/>
      <c r="F512" s="8" t="n"/>
      <c r="G512" s="8">
        <f>IF(OR(ISBLANK(E512),ISBLANK(F512)),"",IF(E512&gt;F512,"Local",IF(E512=F512,"Empate","Visitante")))</f>
        <v/>
      </c>
      <c r="H512" s="8">
        <f>IF(VLOOKUP(B512,PARTIDOS!$A:$I,9,FALSE)="Cerrado",IF(G512=VLOOKUP(B512,PARTIDOS!$A:$I,8,FALSE),IF(AND(E512=VLOOKUP(B512,PARTIDOS!$A:$I,6,FALSE),F512=VLOOKUP(B512,PARTIDOS!$A:$I,7,FALSE)),3,1),0),"")</f>
        <v/>
      </c>
    </row>
    <row r="513" ht="20.1" customHeight="1">
      <c r="A513" s="12" t="inlineStr">
        <is>
          <t>Jugador 8</t>
        </is>
      </c>
      <c r="B513" s="8" t="inlineStr">
        <is>
          <t>M08</t>
        </is>
      </c>
      <c r="C513" s="12" t="inlineStr">
        <is>
          <t>Colombia</t>
        </is>
      </c>
      <c r="D513" s="12" t="inlineStr">
        <is>
          <t>Uruguay</t>
        </is>
      </c>
      <c r="E513" s="8" t="n"/>
      <c r="F513" s="8" t="n"/>
      <c r="G513" s="8">
        <f>IF(OR(ISBLANK(E513),ISBLANK(F513)),"",IF(E513&gt;F513,"Local",IF(E513=F513,"Empate","Visitante")))</f>
        <v/>
      </c>
      <c r="H513" s="8">
        <f>IF(VLOOKUP(B513,PARTIDOS!$A:$I,9,FALSE)="Cerrado",IF(G513=VLOOKUP(B513,PARTIDOS!$A:$I,8,FALSE),IF(AND(E513=VLOOKUP(B513,PARTIDOS!$A:$I,6,FALSE),F513=VLOOKUP(B513,PARTIDOS!$A:$I,7,FALSE)),3,1),0),"")</f>
        <v/>
      </c>
    </row>
    <row r="514" ht="20.1" customHeight="1">
      <c r="A514" s="12" t="inlineStr">
        <is>
          <t>Jugador 8</t>
        </is>
      </c>
      <c r="B514" s="8" t="inlineStr">
        <is>
          <t>M09</t>
        </is>
      </c>
      <c r="C514" s="12" t="inlineStr">
        <is>
          <t>Argentina</t>
        </is>
      </c>
      <c r="D514" s="12" t="inlineStr">
        <is>
          <t>Colombia</t>
        </is>
      </c>
      <c r="E514" s="8" t="n"/>
      <c r="F514" s="8" t="n"/>
      <c r="G514" s="8">
        <f>IF(OR(ISBLANK(E514),ISBLANK(F514)),"",IF(E514&gt;F514,"Local",IF(E514=F514,"Empate","Visitante")))</f>
        <v/>
      </c>
      <c r="H514" s="8">
        <f>IF(VLOOKUP(B514,PARTIDOS!$A:$I,9,FALSE)="Cerrado",IF(G514=VLOOKUP(B514,PARTIDOS!$A:$I,8,FALSE),IF(AND(E514=VLOOKUP(B514,PARTIDOS!$A:$I,6,FALSE),F514=VLOOKUP(B514,PARTIDOS!$A:$I,7,FALSE)),3,1),0),"")</f>
        <v/>
      </c>
    </row>
    <row r="515" ht="20.1" customHeight="1">
      <c r="A515" s="12" t="inlineStr">
        <is>
          <t>Jugador 8</t>
        </is>
      </c>
      <c r="B515" s="8" t="inlineStr">
        <is>
          <t>M10</t>
        </is>
      </c>
      <c r="C515" s="12" t="inlineStr">
        <is>
          <t>Brasil</t>
        </is>
      </c>
      <c r="D515" s="12" t="inlineStr">
        <is>
          <t>Uruguay</t>
        </is>
      </c>
      <c r="E515" s="8" t="n"/>
      <c r="F515" s="8" t="n"/>
      <c r="G515" s="8">
        <f>IF(OR(ISBLANK(E515),ISBLANK(F515)),"",IF(E515&gt;F515,"Local",IF(E515=F515,"Empate","Visitante")))</f>
        <v/>
      </c>
      <c r="H515" s="8">
        <f>IF(VLOOKUP(B515,PARTIDOS!$A:$I,9,FALSE)="Cerrado",IF(G515=VLOOKUP(B515,PARTIDOS!$A:$I,8,FALSE),IF(AND(E515=VLOOKUP(B515,PARTIDOS!$A:$I,6,FALSE),F515=VLOOKUP(B515,PARTIDOS!$A:$I,7,FALSE)),3,1),0),"")</f>
        <v/>
      </c>
    </row>
    <row r="516" ht="20.1" customHeight="1">
      <c r="A516" s="12" t="inlineStr">
        <is>
          <t>Jugador 8</t>
        </is>
      </c>
      <c r="B516" s="8" t="inlineStr">
        <is>
          <t>M11</t>
        </is>
      </c>
      <c r="C516" s="12" t="inlineStr">
        <is>
          <t>Argentina</t>
        </is>
      </c>
      <c r="D516" s="12" t="inlineStr">
        <is>
          <t>Uruguay</t>
        </is>
      </c>
      <c r="E516" s="8" t="n"/>
      <c r="F516" s="8" t="n"/>
      <c r="G516" s="8">
        <f>IF(OR(ISBLANK(E516),ISBLANK(F516)),"",IF(E516&gt;F516,"Local",IF(E516=F516,"Empate","Visitante")))</f>
        <v/>
      </c>
      <c r="H516" s="8">
        <f>IF(VLOOKUP(B516,PARTIDOS!$A:$I,9,FALSE)="Cerrado",IF(G516=VLOOKUP(B516,PARTIDOS!$A:$I,8,FALSE),IF(AND(E516=VLOOKUP(B516,PARTIDOS!$A:$I,6,FALSE),F516=VLOOKUP(B516,PARTIDOS!$A:$I,7,FALSE)),3,1),0),"")</f>
        <v/>
      </c>
    </row>
    <row r="517" ht="20.1" customHeight="1">
      <c r="A517" s="12" t="inlineStr">
        <is>
          <t>Jugador 8</t>
        </is>
      </c>
      <c r="B517" s="8" t="inlineStr">
        <is>
          <t>M12</t>
        </is>
      </c>
      <c r="C517" s="12" t="inlineStr">
        <is>
          <t>Brasil</t>
        </is>
      </c>
      <c r="D517" s="12" t="inlineStr">
        <is>
          <t>Colombia</t>
        </is>
      </c>
      <c r="E517" s="8" t="n"/>
      <c r="F517" s="8" t="n"/>
      <c r="G517" s="8">
        <f>IF(OR(ISBLANK(E517),ISBLANK(F517)),"",IF(E517&gt;F517,"Local",IF(E517=F517,"Empate","Visitante")))</f>
        <v/>
      </c>
      <c r="H517" s="8">
        <f>IF(VLOOKUP(B517,PARTIDOS!$A:$I,9,FALSE)="Cerrado",IF(G517=VLOOKUP(B517,PARTIDOS!$A:$I,8,FALSE),IF(AND(E517=VLOOKUP(B517,PARTIDOS!$A:$I,6,FALSE),F517=VLOOKUP(B517,PARTIDOS!$A:$I,7,FALSE)),3,1),0),"")</f>
        <v/>
      </c>
    </row>
    <row r="518" ht="20.1" customHeight="1">
      <c r="A518" s="12" t="inlineStr">
        <is>
          <t>Jugador 8</t>
        </is>
      </c>
      <c r="B518" s="8" t="inlineStr">
        <is>
          <t>M13</t>
        </is>
      </c>
      <c r="C518" s="12" t="inlineStr">
        <is>
          <t>Ecuador</t>
        </is>
      </c>
      <c r="D518" s="12" t="inlineStr">
        <is>
          <t>Perú</t>
        </is>
      </c>
      <c r="E518" s="8" t="n"/>
      <c r="F518" s="8" t="n"/>
      <c r="G518" s="8">
        <f>IF(OR(ISBLANK(E518),ISBLANK(F518)),"",IF(E518&gt;F518,"Local",IF(E518=F518,"Empate","Visitante")))</f>
        <v/>
      </c>
      <c r="H518" s="8">
        <f>IF(VLOOKUP(B518,PARTIDOS!$A:$I,9,FALSE)="Cerrado",IF(G518=VLOOKUP(B518,PARTIDOS!$A:$I,8,FALSE),IF(AND(E518=VLOOKUP(B518,PARTIDOS!$A:$I,6,FALSE),F518=VLOOKUP(B518,PARTIDOS!$A:$I,7,FALSE)),3,1),0),"")</f>
        <v/>
      </c>
    </row>
    <row r="519" ht="20.1" customHeight="1">
      <c r="A519" s="12" t="inlineStr">
        <is>
          <t>Jugador 8</t>
        </is>
      </c>
      <c r="B519" s="8" t="inlineStr">
        <is>
          <t>M14</t>
        </is>
      </c>
      <c r="C519" s="12" t="inlineStr">
        <is>
          <t>Chile</t>
        </is>
      </c>
      <c r="D519" s="12" t="inlineStr">
        <is>
          <t>Paraguay</t>
        </is>
      </c>
      <c r="E519" s="8" t="n"/>
      <c r="F519" s="8" t="n"/>
      <c r="G519" s="8">
        <f>IF(OR(ISBLANK(E519),ISBLANK(F519)),"",IF(E519&gt;F519,"Local",IF(E519=F519,"Empate","Visitante")))</f>
        <v/>
      </c>
      <c r="H519" s="8">
        <f>IF(VLOOKUP(B519,PARTIDOS!$A:$I,9,FALSE)="Cerrado",IF(G519=VLOOKUP(B519,PARTIDOS!$A:$I,8,FALSE),IF(AND(E519=VLOOKUP(B519,PARTIDOS!$A:$I,6,FALSE),F519=VLOOKUP(B519,PARTIDOS!$A:$I,7,FALSE)),3,1),0),"")</f>
        <v/>
      </c>
    </row>
    <row r="520" ht="20.1" customHeight="1">
      <c r="A520" s="12" t="inlineStr">
        <is>
          <t>Jugador 8</t>
        </is>
      </c>
      <c r="B520" s="8" t="inlineStr">
        <is>
          <t>M15</t>
        </is>
      </c>
      <c r="C520" s="12" t="inlineStr">
        <is>
          <t>Ecuador</t>
        </is>
      </c>
      <c r="D520" s="12" t="inlineStr">
        <is>
          <t>Chile</t>
        </is>
      </c>
      <c r="E520" s="8" t="n"/>
      <c r="F520" s="8" t="n"/>
      <c r="G520" s="8">
        <f>IF(OR(ISBLANK(E520),ISBLANK(F520)),"",IF(E520&gt;F520,"Local",IF(E520=F520,"Empate","Visitante")))</f>
        <v/>
      </c>
      <c r="H520" s="8">
        <f>IF(VLOOKUP(B520,PARTIDOS!$A:$I,9,FALSE)="Cerrado",IF(G520=VLOOKUP(B520,PARTIDOS!$A:$I,8,FALSE),IF(AND(E520=VLOOKUP(B520,PARTIDOS!$A:$I,6,FALSE),F520=VLOOKUP(B520,PARTIDOS!$A:$I,7,FALSE)),3,1),0),"")</f>
        <v/>
      </c>
    </row>
    <row r="521" ht="20.1" customHeight="1">
      <c r="A521" s="12" t="inlineStr">
        <is>
          <t>Jugador 8</t>
        </is>
      </c>
      <c r="B521" s="8" t="inlineStr">
        <is>
          <t>M16</t>
        </is>
      </c>
      <c r="C521" s="12" t="inlineStr">
        <is>
          <t>Perú</t>
        </is>
      </c>
      <c r="D521" s="12" t="inlineStr">
        <is>
          <t>Paraguay</t>
        </is>
      </c>
      <c r="E521" s="8" t="n"/>
      <c r="F521" s="8" t="n"/>
      <c r="G521" s="8">
        <f>IF(OR(ISBLANK(E521),ISBLANK(F521)),"",IF(E521&gt;F521,"Local",IF(E521=F521,"Empate","Visitante")))</f>
        <v/>
      </c>
      <c r="H521" s="8">
        <f>IF(VLOOKUP(B521,PARTIDOS!$A:$I,9,FALSE)="Cerrado",IF(G521=VLOOKUP(B521,PARTIDOS!$A:$I,8,FALSE),IF(AND(E521=VLOOKUP(B521,PARTIDOS!$A:$I,6,FALSE),F521=VLOOKUP(B521,PARTIDOS!$A:$I,7,FALSE)),3,1),0),"")</f>
        <v/>
      </c>
    </row>
    <row r="522" ht="20.1" customHeight="1">
      <c r="A522" s="12" t="inlineStr">
        <is>
          <t>Jugador 8</t>
        </is>
      </c>
      <c r="B522" s="8" t="inlineStr">
        <is>
          <t>M17</t>
        </is>
      </c>
      <c r="C522" s="12" t="inlineStr">
        <is>
          <t>Ecuador</t>
        </is>
      </c>
      <c r="D522" s="12" t="inlineStr">
        <is>
          <t>Paraguay</t>
        </is>
      </c>
      <c r="E522" s="8" t="n"/>
      <c r="F522" s="8" t="n"/>
      <c r="G522" s="8">
        <f>IF(OR(ISBLANK(E522),ISBLANK(F522)),"",IF(E522&gt;F522,"Local",IF(E522=F522,"Empate","Visitante")))</f>
        <v/>
      </c>
      <c r="H522" s="8">
        <f>IF(VLOOKUP(B522,PARTIDOS!$A:$I,9,FALSE)="Cerrado",IF(G522=VLOOKUP(B522,PARTIDOS!$A:$I,8,FALSE),IF(AND(E522=VLOOKUP(B522,PARTIDOS!$A:$I,6,FALSE),F522=VLOOKUP(B522,PARTIDOS!$A:$I,7,FALSE)),3,1),0),"")</f>
        <v/>
      </c>
    </row>
    <row r="523" ht="20.1" customHeight="1">
      <c r="A523" s="12" t="inlineStr">
        <is>
          <t>Jugador 8</t>
        </is>
      </c>
      <c r="B523" s="8" t="inlineStr">
        <is>
          <t>M18</t>
        </is>
      </c>
      <c r="C523" s="12" t="inlineStr">
        <is>
          <t>Perú</t>
        </is>
      </c>
      <c r="D523" s="12" t="inlineStr">
        <is>
          <t>Chile</t>
        </is>
      </c>
      <c r="E523" s="8" t="n"/>
      <c r="F523" s="8" t="n"/>
      <c r="G523" s="8">
        <f>IF(OR(ISBLANK(E523),ISBLANK(F523)),"",IF(E523&gt;F523,"Local",IF(E523=F523,"Empate","Visitante")))</f>
        <v/>
      </c>
      <c r="H523" s="8">
        <f>IF(VLOOKUP(B523,PARTIDOS!$A:$I,9,FALSE)="Cerrado",IF(G523=VLOOKUP(B523,PARTIDOS!$A:$I,8,FALSE),IF(AND(E523=VLOOKUP(B523,PARTIDOS!$A:$I,6,FALSE),F523=VLOOKUP(B523,PARTIDOS!$A:$I,7,FALSE)),3,1),0),"")</f>
        <v/>
      </c>
    </row>
    <row r="524" ht="20.1" customHeight="1">
      <c r="A524" s="12" t="inlineStr">
        <is>
          <t>Jugador 8</t>
        </is>
      </c>
      <c r="B524" s="8" t="inlineStr">
        <is>
          <t>M19</t>
        </is>
      </c>
      <c r="C524" s="12" t="inlineStr">
        <is>
          <t>España</t>
        </is>
      </c>
      <c r="D524" s="12" t="inlineStr">
        <is>
          <t>Francia</t>
        </is>
      </c>
      <c r="E524" s="8" t="n"/>
      <c r="F524" s="8" t="n"/>
      <c r="G524" s="8">
        <f>IF(OR(ISBLANK(E524),ISBLANK(F524)),"",IF(E524&gt;F524,"Local",IF(E524=F524,"Empate","Visitante")))</f>
        <v/>
      </c>
      <c r="H524" s="8">
        <f>IF(VLOOKUP(B524,PARTIDOS!$A:$I,9,FALSE)="Cerrado",IF(G524=VLOOKUP(B524,PARTIDOS!$A:$I,8,FALSE),IF(AND(E524=VLOOKUP(B524,PARTIDOS!$A:$I,6,FALSE),F524=VLOOKUP(B524,PARTIDOS!$A:$I,7,FALSE)),3,1),0),"")</f>
        <v/>
      </c>
    </row>
    <row r="525" ht="20.1" customHeight="1">
      <c r="A525" s="12" t="inlineStr">
        <is>
          <t>Jugador 8</t>
        </is>
      </c>
      <c r="B525" s="8" t="inlineStr">
        <is>
          <t>M20</t>
        </is>
      </c>
      <c r="C525" s="12" t="inlineStr">
        <is>
          <t>Inglaterra</t>
        </is>
      </c>
      <c r="D525" s="12" t="inlineStr">
        <is>
          <t>Alemania</t>
        </is>
      </c>
      <c r="E525" s="8" t="n"/>
      <c r="F525" s="8" t="n"/>
      <c r="G525" s="8">
        <f>IF(OR(ISBLANK(E525),ISBLANK(F525)),"",IF(E525&gt;F525,"Local",IF(E525=F525,"Empate","Visitante")))</f>
        <v/>
      </c>
      <c r="H525" s="8">
        <f>IF(VLOOKUP(B525,PARTIDOS!$A:$I,9,FALSE)="Cerrado",IF(G525=VLOOKUP(B525,PARTIDOS!$A:$I,8,FALSE),IF(AND(E525=VLOOKUP(B525,PARTIDOS!$A:$I,6,FALSE),F525=VLOOKUP(B525,PARTIDOS!$A:$I,7,FALSE)),3,1),0),"")</f>
        <v/>
      </c>
    </row>
    <row r="526" ht="20.1" customHeight="1">
      <c r="A526" s="12" t="inlineStr">
        <is>
          <t>Jugador 8</t>
        </is>
      </c>
      <c r="B526" s="8" t="inlineStr">
        <is>
          <t>M21</t>
        </is>
      </c>
      <c r="C526" s="12" t="inlineStr">
        <is>
          <t>España</t>
        </is>
      </c>
      <c r="D526" s="12" t="inlineStr">
        <is>
          <t>Inglaterra</t>
        </is>
      </c>
      <c r="E526" s="8" t="n"/>
      <c r="F526" s="8" t="n"/>
      <c r="G526" s="8">
        <f>IF(OR(ISBLANK(E526),ISBLANK(F526)),"",IF(E526&gt;F526,"Local",IF(E526=F526,"Empate","Visitante")))</f>
        <v/>
      </c>
      <c r="H526" s="8">
        <f>IF(VLOOKUP(B526,PARTIDOS!$A:$I,9,FALSE)="Cerrado",IF(G526=VLOOKUP(B526,PARTIDOS!$A:$I,8,FALSE),IF(AND(E526=VLOOKUP(B526,PARTIDOS!$A:$I,6,FALSE),F526=VLOOKUP(B526,PARTIDOS!$A:$I,7,FALSE)),3,1),0),"")</f>
        <v/>
      </c>
    </row>
    <row r="527" ht="20.1" customHeight="1">
      <c r="A527" s="12" t="inlineStr">
        <is>
          <t>Jugador 8</t>
        </is>
      </c>
      <c r="B527" s="8" t="inlineStr">
        <is>
          <t>M22</t>
        </is>
      </c>
      <c r="C527" s="12" t="inlineStr">
        <is>
          <t>Francia</t>
        </is>
      </c>
      <c r="D527" s="12" t="inlineStr">
        <is>
          <t>Alemania</t>
        </is>
      </c>
      <c r="E527" s="8" t="n"/>
      <c r="F527" s="8" t="n"/>
      <c r="G527" s="8">
        <f>IF(OR(ISBLANK(E527),ISBLANK(F527)),"",IF(E527&gt;F527,"Local",IF(E527=F527,"Empate","Visitante")))</f>
        <v/>
      </c>
      <c r="H527" s="8">
        <f>IF(VLOOKUP(B527,PARTIDOS!$A:$I,9,FALSE)="Cerrado",IF(G527=VLOOKUP(B527,PARTIDOS!$A:$I,8,FALSE),IF(AND(E527=VLOOKUP(B527,PARTIDOS!$A:$I,6,FALSE),F527=VLOOKUP(B527,PARTIDOS!$A:$I,7,FALSE)),3,1),0),"")</f>
        <v/>
      </c>
    </row>
    <row r="528" ht="20.1" customHeight="1">
      <c r="A528" s="12" t="inlineStr">
        <is>
          <t>Jugador 8</t>
        </is>
      </c>
      <c r="B528" s="8" t="inlineStr">
        <is>
          <t>M23</t>
        </is>
      </c>
      <c r="C528" s="12" t="inlineStr">
        <is>
          <t>España</t>
        </is>
      </c>
      <c r="D528" s="12" t="inlineStr">
        <is>
          <t>Alemania</t>
        </is>
      </c>
      <c r="E528" s="8" t="n"/>
      <c r="F528" s="8" t="n"/>
      <c r="G528" s="8">
        <f>IF(OR(ISBLANK(E528),ISBLANK(F528)),"",IF(E528&gt;F528,"Local",IF(E528=F528,"Empate","Visitante")))</f>
        <v/>
      </c>
      <c r="H528" s="8">
        <f>IF(VLOOKUP(B528,PARTIDOS!$A:$I,9,FALSE)="Cerrado",IF(G528=VLOOKUP(B528,PARTIDOS!$A:$I,8,FALSE),IF(AND(E528=VLOOKUP(B528,PARTIDOS!$A:$I,6,FALSE),F528=VLOOKUP(B528,PARTIDOS!$A:$I,7,FALSE)),3,1),0),"")</f>
        <v/>
      </c>
    </row>
    <row r="529" ht="20.1" customHeight="1">
      <c r="A529" s="12" t="inlineStr">
        <is>
          <t>Jugador 8</t>
        </is>
      </c>
      <c r="B529" s="8" t="inlineStr">
        <is>
          <t>M24</t>
        </is>
      </c>
      <c r="C529" s="12" t="inlineStr">
        <is>
          <t>Francia</t>
        </is>
      </c>
      <c r="D529" s="12" t="inlineStr">
        <is>
          <t>Inglaterra</t>
        </is>
      </c>
      <c r="E529" s="8" t="n"/>
      <c r="F529" s="8" t="n"/>
      <c r="G529" s="8">
        <f>IF(OR(ISBLANK(E529),ISBLANK(F529)),"",IF(E529&gt;F529,"Local",IF(E529=F529,"Empate","Visitante")))</f>
        <v/>
      </c>
      <c r="H529" s="8">
        <f>IF(VLOOKUP(B529,PARTIDOS!$A:$I,9,FALSE)="Cerrado",IF(G529=VLOOKUP(B529,PARTIDOS!$A:$I,8,FALSE),IF(AND(E529=VLOOKUP(B529,PARTIDOS!$A:$I,6,FALSE),F529=VLOOKUP(B529,PARTIDOS!$A:$I,7,FALSE)),3,1),0),"")</f>
        <v/>
      </c>
    </row>
    <row r="530" ht="20.1" customHeight="1">
      <c r="A530" s="12" t="inlineStr">
        <is>
          <t>Jugador 8</t>
        </is>
      </c>
      <c r="B530" s="8" t="inlineStr">
        <is>
          <t>M25</t>
        </is>
      </c>
      <c r="C530" s="12" t="inlineStr">
        <is>
          <t>Portugal</t>
        </is>
      </c>
      <c r="D530" s="12" t="inlineStr">
        <is>
          <t>Bélgica</t>
        </is>
      </c>
      <c r="E530" s="8" t="n"/>
      <c r="F530" s="8" t="n"/>
      <c r="G530" s="8">
        <f>IF(OR(ISBLANK(E530),ISBLANK(F530)),"",IF(E530&gt;F530,"Local",IF(E530=F530,"Empate","Visitante")))</f>
        <v/>
      </c>
      <c r="H530" s="8">
        <f>IF(VLOOKUP(B530,PARTIDOS!$A:$I,9,FALSE)="Cerrado",IF(G530=VLOOKUP(B530,PARTIDOS!$A:$I,8,FALSE),IF(AND(E530=VLOOKUP(B530,PARTIDOS!$A:$I,6,FALSE),F530=VLOOKUP(B530,PARTIDOS!$A:$I,7,FALSE)),3,1),0),"")</f>
        <v/>
      </c>
    </row>
    <row r="531" ht="20.1" customHeight="1">
      <c r="A531" s="12" t="inlineStr">
        <is>
          <t>Jugador 8</t>
        </is>
      </c>
      <c r="B531" s="8" t="inlineStr">
        <is>
          <t>M26</t>
        </is>
      </c>
      <c r="C531" s="12" t="inlineStr">
        <is>
          <t>Países Bajos</t>
        </is>
      </c>
      <c r="D531" s="12" t="inlineStr">
        <is>
          <t>Italia</t>
        </is>
      </c>
      <c r="E531" s="8" t="n"/>
      <c r="F531" s="8" t="n"/>
      <c r="G531" s="8">
        <f>IF(OR(ISBLANK(E531),ISBLANK(F531)),"",IF(E531&gt;F531,"Local",IF(E531=F531,"Empate","Visitante")))</f>
        <v/>
      </c>
      <c r="H531" s="8">
        <f>IF(VLOOKUP(B531,PARTIDOS!$A:$I,9,FALSE)="Cerrado",IF(G531=VLOOKUP(B531,PARTIDOS!$A:$I,8,FALSE),IF(AND(E531=VLOOKUP(B531,PARTIDOS!$A:$I,6,FALSE),F531=VLOOKUP(B531,PARTIDOS!$A:$I,7,FALSE)),3,1),0),"")</f>
        <v/>
      </c>
    </row>
    <row r="532" ht="20.1" customHeight="1">
      <c r="A532" s="12" t="inlineStr">
        <is>
          <t>Jugador 8</t>
        </is>
      </c>
      <c r="B532" s="8" t="inlineStr">
        <is>
          <t>M27</t>
        </is>
      </c>
      <c r="C532" s="12" t="inlineStr">
        <is>
          <t>Portugal</t>
        </is>
      </c>
      <c r="D532" s="12" t="inlineStr">
        <is>
          <t>Países Bajos</t>
        </is>
      </c>
      <c r="E532" s="8" t="n"/>
      <c r="F532" s="8" t="n"/>
      <c r="G532" s="8">
        <f>IF(OR(ISBLANK(E532),ISBLANK(F532)),"",IF(E532&gt;F532,"Local",IF(E532=F532,"Empate","Visitante")))</f>
        <v/>
      </c>
      <c r="H532" s="8">
        <f>IF(VLOOKUP(B532,PARTIDOS!$A:$I,9,FALSE)="Cerrado",IF(G532=VLOOKUP(B532,PARTIDOS!$A:$I,8,FALSE),IF(AND(E532=VLOOKUP(B532,PARTIDOS!$A:$I,6,FALSE),F532=VLOOKUP(B532,PARTIDOS!$A:$I,7,FALSE)),3,1),0),"")</f>
        <v/>
      </c>
    </row>
    <row r="533" ht="20.1" customHeight="1">
      <c r="A533" s="12" t="inlineStr">
        <is>
          <t>Jugador 8</t>
        </is>
      </c>
      <c r="B533" s="8" t="inlineStr">
        <is>
          <t>M28</t>
        </is>
      </c>
      <c r="C533" s="12" t="inlineStr">
        <is>
          <t>Bélgica</t>
        </is>
      </c>
      <c r="D533" s="12" t="inlineStr">
        <is>
          <t>Italia</t>
        </is>
      </c>
      <c r="E533" s="8" t="n"/>
      <c r="F533" s="8" t="n"/>
      <c r="G533" s="8">
        <f>IF(OR(ISBLANK(E533),ISBLANK(F533)),"",IF(E533&gt;F533,"Local",IF(E533=F533,"Empate","Visitante")))</f>
        <v/>
      </c>
      <c r="H533" s="8">
        <f>IF(VLOOKUP(B533,PARTIDOS!$A:$I,9,FALSE)="Cerrado",IF(G533=VLOOKUP(B533,PARTIDOS!$A:$I,8,FALSE),IF(AND(E533=VLOOKUP(B533,PARTIDOS!$A:$I,6,FALSE),F533=VLOOKUP(B533,PARTIDOS!$A:$I,7,FALSE)),3,1),0),"")</f>
        <v/>
      </c>
    </row>
    <row r="534" ht="20.1" customHeight="1">
      <c r="A534" s="12" t="inlineStr">
        <is>
          <t>Jugador 8</t>
        </is>
      </c>
      <c r="B534" s="8" t="inlineStr">
        <is>
          <t>M29</t>
        </is>
      </c>
      <c r="C534" s="12" t="inlineStr">
        <is>
          <t>Portugal</t>
        </is>
      </c>
      <c r="D534" s="12" t="inlineStr">
        <is>
          <t>Italia</t>
        </is>
      </c>
      <c r="E534" s="8" t="n"/>
      <c r="F534" s="8" t="n"/>
      <c r="G534" s="8">
        <f>IF(OR(ISBLANK(E534),ISBLANK(F534)),"",IF(E534&gt;F534,"Local",IF(E534=F534,"Empate","Visitante")))</f>
        <v/>
      </c>
      <c r="H534" s="8">
        <f>IF(VLOOKUP(B534,PARTIDOS!$A:$I,9,FALSE)="Cerrado",IF(G534=VLOOKUP(B534,PARTIDOS!$A:$I,8,FALSE),IF(AND(E534=VLOOKUP(B534,PARTIDOS!$A:$I,6,FALSE),F534=VLOOKUP(B534,PARTIDOS!$A:$I,7,FALSE)),3,1),0),"")</f>
        <v/>
      </c>
    </row>
    <row r="535" ht="20.1" customHeight="1">
      <c r="A535" s="12" t="inlineStr">
        <is>
          <t>Jugador 8</t>
        </is>
      </c>
      <c r="B535" s="8" t="inlineStr">
        <is>
          <t>M30</t>
        </is>
      </c>
      <c r="C535" s="12" t="inlineStr">
        <is>
          <t>Bélgica</t>
        </is>
      </c>
      <c r="D535" s="12" t="inlineStr">
        <is>
          <t>Países Bajos</t>
        </is>
      </c>
      <c r="E535" s="8" t="n"/>
      <c r="F535" s="8" t="n"/>
      <c r="G535" s="8">
        <f>IF(OR(ISBLANK(E535),ISBLANK(F535)),"",IF(E535&gt;F535,"Local",IF(E535=F535,"Empate","Visitante")))</f>
        <v/>
      </c>
      <c r="H535" s="8">
        <f>IF(VLOOKUP(B535,PARTIDOS!$A:$I,9,FALSE)="Cerrado",IF(G535=VLOOKUP(B535,PARTIDOS!$A:$I,8,FALSE),IF(AND(E535=VLOOKUP(B535,PARTIDOS!$A:$I,6,FALSE),F535=VLOOKUP(B535,PARTIDOS!$A:$I,7,FALSE)),3,1),0),"")</f>
        <v/>
      </c>
    </row>
    <row r="536" ht="20.1" customHeight="1">
      <c r="A536" s="12" t="inlineStr">
        <is>
          <t>Jugador 8</t>
        </is>
      </c>
      <c r="B536" s="8" t="inlineStr">
        <is>
          <t>M31</t>
        </is>
      </c>
      <c r="C536" s="12" t="inlineStr">
        <is>
          <t>Croacia</t>
        </is>
      </c>
      <c r="D536" s="12" t="inlineStr">
        <is>
          <t>Suiza</t>
        </is>
      </c>
      <c r="E536" s="8" t="n"/>
      <c r="F536" s="8" t="n"/>
      <c r="G536" s="8">
        <f>IF(OR(ISBLANK(E536),ISBLANK(F536)),"",IF(E536&gt;F536,"Local",IF(E536=F536,"Empate","Visitante")))</f>
        <v/>
      </c>
      <c r="H536" s="8">
        <f>IF(VLOOKUP(B536,PARTIDOS!$A:$I,9,FALSE)="Cerrado",IF(G536=VLOOKUP(B536,PARTIDOS!$A:$I,8,FALSE),IF(AND(E536=VLOOKUP(B536,PARTIDOS!$A:$I,6,FALSE),F536=VLOOKUP(B536,PARTIDOS!$A:$I,7,FALSE)),3,1),0),"")</f>
        <v/>
      </c>
    </row>
    <row r="537" ht="20.1" customHeight="1">
      <c r="A537" s="12" t="inlineStr">
        <is>
          <t>Jugador 8</t>
        </is>
      </c>
      <c r="B537" s="8" t="inlineStr">
        <is>
          <t>M32</t>
        </is>
      </c>
      <c r="C537" s="12" t="inlineStr">
        <is>
          <t>Dinamarca</t>
        </is>
      </c>
      <c r="D537" s="12" t="inlineStr">
        <is>
          <t>Serbia</t>
        </is>
      </c>
      <c r="E537" s="8" t="n"/>
      <c r="F537" s="8" t="n"/>
      <c r="G537" s="8">
        <f>IF(OR(ISBLANK(E537),ISBLANK(F537)),"",IF(E537&gt;F537,"Local",IF(E537=F537,"Empate","Visitante")))</f>
        <v/>
      </c>
      <c r="H537" s="8">
        <f>IF(VLOOKUP(B537,PARTIDOS!$A:$I,9,FALSE)="Cerrado",IF(G537=VLOOKUP(B537,PARTIDOS!$A:$I,8,FALSE),IF(AND(E537=VLOOKUP(B537,PARTIDOS!$A:$I,6,FALSE),F537=VLOOKUP(B537,PARTIDOS!$A:$I,7,FALSE)),3,1),0),"")</f>
        <v/>
      </c>
    </row>
    <row r="538" ht="20.1" customHeight="1">
      <c r="A538" s="12" t="inlineStr">
        <is>
          <t>Jugador 8</t>
        </is>
      </c>
      <c r="B538" s="8" t="inlineStr">
        <is>
          <t>M33</t>
        </is>
      </c>
      <c r="C538" s="12" t="inlineStr">
        <is>
          <t>Croacia</t>
        </is>
      </c>
      <c r="D538" s="12" t="inlineStr">
        <is>
          <t>Dinamarca</t>
        </is>
      </c>
      <c r="E538" s="8" t="n"/>
      <c r="F538" s="8" t="n"/>
      <c r="G538" s="8">
        <f>IF(OR(ISBLANK(E538),ISBLANK(F538)),"",IF(E538&gt;F538,"Local",IF(E538=F538,"Empate","Visitante")))</f>
        <v/>
      </c>
      <c r="H538" s="8">
        <f>IF(VLOOKUP(B538,PARTIDOS!$A:$I,9,FALSE)="Cerrado",IF(G538=VLOOKUP(B538,PARTIDOS!$A:$I,8,FALSE),IF(AND(E538=VLOOKUP(B538,PARTIDOS!$A:$I,6,FALSE),F538=VLOOKUP(B538,PARTIDOS!$A:$I,7,FALSE)),3,1),0),"")</f>
        <v/>
      </c>
    </row>
    <row r="539" ht="20.1" customHeight="1">
      <c r="A539" s="12" t="inlineStr">
        <is>
          <t>Jugador 8</t>
        </is>
      </c>
      <c r="B539" s="8" t="inlineStr">
        <is>
          <t>M34</t>
        </is>
      </c>
      <c r="C539" s="12" t="inlineStr">
        <is>
          <t>Suiza</t>
        </is>
      </c>
      <c r="D539" s="12" t="inlineStr">
        <is>
          <t>Serbia</t>
        </is>
      </c>
      <c r="E539" s="8" t="n"/>
      <c r="F539" s="8" t="n"/>
      <c r="G539" s="8">
        <f>IF(OR(ISBLANK(E539),ISBLANK(F539)),"",IF(E539&gt;F539,"Local",IF(E539=F539,"Empate","Visitante")))</f>
        <v/>
      </c>
      <c r="H539" s="8">
        <f>IF(VLOOKUP(B539,PARTIDOS!$A:$I,9,FALSE)="Cerrado",IF(G539=VLOOKUP(B539,PARTIDOS!$A:$I,8,FALSE),IF(AND(E539=VLOOKUP(B539,PARTIDOS!$A:$I,6,FALSE),F539=VLOOKUP(B539,PARTIDOS!$A:$I,7,FALSE)),3,1),0),"")</f>
        <v/>
      </c>
    </row>
    <row r="540" ht="20.1" customHeight="1">
      <c r="A540" s="12" t="inlineStr">
        <is>
          <t>Jugador 8</t>
        </is>
      </c>
      <c r="B540" s="8" t="inlineStr">
        <is>
          <t>M35</t>
        </is>
      </c>
      <c r="C540" s="12" t="inlineStr">
        <is>
          <t>Croacia</t>
        </is>
      </c>
      <c r="D540" s="12" t="inlineStr">
        <is>
          <t>Serbia</t>
        </is>
      </c>
      <c r="E540" s="8" t="n"/>
      <c r="F540" s="8" t="n"/>
      <c r="G540" s="8">
        <f>IF(OR(ISBLANK(E540),ISBLANK(F540)),"",IF(E540&gt;F540,"Local",IF(E540=F540,"Empate","Visitante")))</f>
        <v/>
      </c>
      <c r="H540" s="8">
        <f>IF(VLOOKUP(B540,PARTIDOS!$A:$I,9,FALSE)="Cerrado",IF(G540=VLOOKUP(B540,PARTIDOS!$A:$I,8,FALSE),IF(AND(E540=VLOOKUP(B540,PARTIDOS!$A:$I,6,FALSE),F540=VLOOKUP(B540,PARTIDOS!$A:$I,7,FALSE)),3,1),0),"")</f>
        <v/>
      </c>
    </row>
    <row r="541" ht="20.1" customHeight="1">
      <c r="A541" s="12" t="inlineStr">
        <is>
          <t>Jugador 8</t>
        </is>
      </c>
      <c r="B541" s="8" t="inlineStr">
        <is>
          <t>M36</t>
        </is>
      </c>
      <c r="C541" s="12" t="inlineStr">
        <is>
          <t>Suiza</t>
        </is>
      </c>
      <c r="D541" s="12" t="inlineStr">
        <is>
          <t>Dinamarca</t>
        </is>
      </c>
      <c r="E541" s="8" t="n"/>
      <c r="F541" s="8" t="n"/>
      <c r="G541" s="8">
        <f>IF(OR(ISBLANK(E541),ISBLANK(F541)),"",IF(E541&gt;F541,"Local",IF(E541=F541,"Empate","Visitante")))</f>
        <v/>
      </c>
      <c r="H541" s="8">
        <f>IF(VLOOKUP(B541,PARTIDOS!$A:$I,9,FALSE)="Cerrado",IF(G541=VLOOKUP(B541,PARTIDOS!$A:$I,8,FALSE),IF(AND(E541=VLOOKUP(B541,PARTIDOS!$A:$I,6,FALSE),F541=VLOOKUP(B541,PARTIDOS!$A:$I,7,FALSE)),3,1),0),"")</f>
        <v/>
      </c>
    </row>
    <row r="542" ht="20.1" customHeight="1">
      <c r="A542" s="12" t="inlineStr">
        <is>
          <t>Jugador 8</t>
        </is>
      </c>
      <c r="B542" s="8" t="inlineStr">
        <is>
          <t>M37</t>
        </is>
      </c>
      <c r="C542" s="12" t="inlineStr">
        <is>
          <t>Polonia</t>
        </is>
      </c>
      <c r="D542" s="12" t="inlineStr">
        <is>
          <t>Ucrania</t>
        </is>
      </c>
      <c r="E542" s="8" t="n"/>
      <c r="F542" s="8" t="n"/>
      <c r="G542" s="8">
        <f>IF(OR(ISBLANK(E542),ISBLANK(F542)),"",IF(E542&gt;F542,"Local",IF(E542=F542,"Empate","Visitante")))</f>
        <v/>
      </c>
      <c r="H542" s="8">
        <f>IF(VLOOKUP(B542,PARTIDOS!$A:$I,9,FALSE)="Cerrado",IF(G542=VLOOKUP(B542,PARTIDOS!$A:$I,8,FALSE),IF(AND(E542=VLOOKUP(B542,PARTIDOS!$A:$I,6,FALSE),F542=VLOOKUP(B542,PARTIDOS!$A:$I,7,FALSE)),3,1),0),"")</f>
        <v/>
      </c>
    </row>
    <row r="543" ht="20.1" customHeight="1">
      <c r="A543" s="12" t="inlineStr">
        <is>
          <t>Jugador 8</t>
        </is>
      </c>
      <c r="B543" s="8" t="inlineStr">
        <is>
          <t>M38</t>
        </is>
      </c>
      <c r="C543" s="12" t="inlineStr">
        <is>
          <t>Suecia</t>
        </is>
      </c>
      <c r="D543" s="12" t="inlineStr">
        <is>
          <t>Gales</t>
        </is>
      </c>
      <c r="E543" s="8" t="n"/>
      <c r="F543" s="8" t="n"/>
      <c r="G543" s="8">
        <f>IF(OR(ISBLANK(E543),ISBLANK(F543)),"",IF(E543&gt;F543,"Local",IF(E543=F543,"Empate","Visitante")))</f>
        <v/>
      </c>
      <c r="H543" s="8">
        <f>IF(VLOOKUP(B543,PARTIDOS!$A:$I,9,FALSE)="Cerrado",IF(G543=VLOOKUP(B543,PARTIDOS!$A:$I,8,FALSE),IF(AND(E543=VLOOKUP(B543,PARTIDOS!$A:$I,6,FALSE),F543=VLOOKUP(B543,PARTIDOS!$A:$I,7,FALSE)),3,1),0),"")</f>
        <v/>
      </c>
    </row>
    <row r="544" ht="20.1" customHeight="1">
      <c r="A544" s="12" t="inlineStr">
        <is>
          <t>Jugador 8</t>
        </is>
      </c>
      <c r="B544" s="8" t="inlineStr">
        <is>
          <t>M39</t>
        </is>
      </c>
      <c r="C544" s="12" t="inlineStr">
        <is>
          <t>Polonia</t>
        </is>
      </c>
      <c r="D544" s="12" t="inlineStr">
        <is>
          <t>Suecia</t>
        </is>
      </c>
      <c r="E544" s="8" t="n"/>
      <c r="F544" s="8" t="n"/>
      <c r="G544" s="8">
        <f>IF(OR(ISBLANK(E544),ISBLANK(F544)),"",IF(E544&gt;F544,"Local",IF(E544=F544,"Empate","Visitante")))</f>
        <v/>
      </c>
      <c r="H544" s="8">
        <f>IF(VLOOKUP(B544,PARTIDOS!$A:$I,9,FALSE)="Cerrado",IF(G544=VLOOKUP(B544,PARTIDOS!$A:$I,8,FALSE),IF(AND(E544=VLOOKUP(B544,PARTIDOS!$A:$I,6,FALSE),F544=VLOOKUP(B544,PARTIDOS!$A:$I,7,FALSE)),3,1),0),"")</f>
        <v/>
      </c>
    </row>
    <row r="545" ht="20.1" customHeight="1">
      <c r="A545" s="12" t="inlineStr">
        <is>
          <t>Jugador 8</t>
        </is>
      </c>
      <c r="B545" s="8" t="inlineStr">
        <is>
          <t>M40</t>
        </is>
      </c>
      <c r="C545" s="12" t="inlineStr">
        <is>
          <t>Ucrania</t>
        </is>
      </c>
      <c r="D545" s="12" t="inlineStr">
        <is>
          <t>Gales</t>
        </is>
      </c>
      <c r="E545" s="8" t="n"/>
      <c r="F545" s="8" t="n"/>
      <c r="G545" s="8">
        <f>IF(OR(ISBLANK(E545),ISBLANK(F545)),"",IF(E545&gt;F545,"Local",IF(E545=F545,"Empate","Visitante")))</f>
        <v/>
      </c>
      <c r="H545" s="8">
        <f>IF(VLOOKUP(B545,PARTIDOS!$A:$I,9,FALSE)="Cerrado",IF(G545=VLOOKUP(B545,PARTIDOS!$A:$I,8,FALSE),IF(AND(E545=VLOOKUP(B545,PARTIDOS!$A:$I,6,FALSE),F545=VLOOKUP(B545,PARTIDOS!$A:$I,7,FALSE)),3,1),0),"")</f>
        <v/>
      </c>
    </row>
    <row r="546" ht="20.1" customHeight="1">
      <c r="A546" s="12" t="inlineStr">
        <is>
          <t>Jugador 8</t>
        </is>
      </c>
      <c r="B546" s="8" t="inlineStr">
        <is>
          <t>M41</t>
        </is>
      </c>
      <c r="C546" s="12" t="inlineStr">
        <is>
          <t>Polonia</t>
        </is>
      </c>
      <c r="D546" s="12" t="inlineStr">
        <is>
          <t>Gales</t>
        </is>
      </c>
      <c r="E546" s="8" t="n"/>
      <c r="F546" s="8" t="n"/>
      <c r="G546" s="8">
        <f>IF(OR(ISBLANK(E546),ISBLANK(F546)),"",IF(E546&gt;F546,"Local",IF(E546=F546,"Empate","Visitante")))</f>
        <v/>
      </c>
      <c r="H546" s="8">
        <f>IF(VLOOKUP(B546,PARTIDOS!$A:$I,9,FALSE)="Cerrado",IF(G546=VLOOKUP(B546,PARTIDOS!$A:$I,8,FALSE),IF(AND(E546=VLOOKUP(B546,PARTIDOS!$A:$I,6,FALSE),F546=VLOOKUP(B546,PARTIDOS!$A:$I,7,FALSE)),3,1),0),"")</f>
        <v/>
      </c>
    </row>
    <row r="547" ht="20.1" customHeight="1">
      <c r="A547" s="12" t="inlineStr">
        <is>
          <t>Jugador 8</t>
        </is>
      </c>
      <c r="B547" s="8" t="inlineStr">
        <is>
          <t>M42</t>
        </is>
      </c>
      <c r="C547" s="12" t="inlineStr">
        <is>
          <t>Ucrania</t>
        </is>
      </c>
      <c r="D547" s="12" t="inlineStr">
        <is>
          <t>Suecia</t>
        </is>
      </c>
      <c r="E547" s="8" t="n"/>
      <c r="F547" s="8" t="n"/>
      <c r="G547" s="8">
        <f>IF(OR(ISBLANK(E547),ISBLANK(F547)),"",IF(E547&gt;F547,"Local",IF(E547=F547,"Empate","Visitante")))</f>
        <v/>
      </c>
      <c r="H547" s="8">
        <f>IF(VLOOKUP(B547,PARTIDOS!$A:$I,9,FALSE)="Cerrado",IF(G547=VLOOKUP(B547,PARTIDOS!$A:$I,8,FALSE),IF(AND(E547=VLOOKUP(B547,PARTIDOS!$A:$I,6,FALSE),F547=VLOOKUP(B547,PARTIDOS!$A:$I,7,FALSE)),3,1),0),"")</f>
        <v/>
      </c>
    </row>
    <row r="548" ht="20.1" customHeight="1">
      <c r="A548" s="12" t="inlineStr">
        <is>
          <t>Jugador 8</t>
        </is>
      </c>
      <c r="B548" s="8" t="inlineStr">
        <is>
          <t>M43</t>
        </is>
      </c>
      <c r="C548" s="12" t="inlineStr">
        <is>
          <t>Austria</t>
        </is>
      </c>
      <c r="D548" s="12" t="inlineStr">
        <is>
          <t>Hungría</t>
        </is>
      </c>
      <c r="E548" s="8" t="n"/>
      <c r="F548" s="8" t="n"/>
      <c r="G548" s="8">
        <f>IF(OR(ISBLANK(E548),ISBLANK(F548)),"",IF(E548&gt;F548,"Local",IF(E548=F548,"Empate","Visitante")))</f>
        <v/>
      </c>
      <c r="H548" s="8">
        <f>IF(VLOOKUP(B548,PARTIDOS!$A:$I,9,FALSE)="Cerrado",IF(G548=VLOOKUP(B548,PARTIDOS!$A:$I,8,FALSE),IF(AND(E548=VLOOKUP(B548,PARTIDOS!$A:$I,6,FALSE),F548=VLOOKUP(B548,PARTIDOS!$A:$I,7,FALSE)),3,1),0),"")</f>
        <v/>
      </c>
    </row>
    <row r="549" ht="20.1" customHeight="1">
      <c r="A549" s="12" t="inlineStr">
        <is>
          <t>Jugador 8</t>
        </is>
      </c>
      <c r="B549" s="8" t="inlineStr">
        <is>
          <t>M44</t>
        </is>
      </c>
      <c r="C549" s="12" t="inlineStr">
        <is>
          <t>Turquía</t>
        </is>
      </c>
      <c r="D549" s="12" t="inlineStr">
        <is>
          <t>Escocia</t>
        </is>
      </c>
      <c r="E549" s="8" t="n"/>
      <c r="F549" s="8" t="n"/>
      <c r="G549" s="8">
        <f>IF(OR(ISBLANK(E549),ISBLANK(F549)),"",IF(E549&gt;F549,"Local",IF(E549=F549,"Empate","Visitante")))</f>
        <v/>
      </c>
      <c r="H549" s="8">
        <f>IF(VLOOKUP(B549,PARTIDOS!$A:$I,9,FALSE)="Cerrado",IF(G549=VLOOKUP(B549,PARTIDOS!$A:$I,8,FALSE),IF(AND(E549=VLOOKUP(B549,PARTIDOS!$A:$I,6,FALSE),F549=VLOOKUP(B549,PARTIDOS!$A:$I,7,FALSE)),3,1),0),"")</f>
        <v/>
      </c>
    </row>
    <row r="550" ht="20.1" customHeight="1">
      <c r="A550" s="12" t="inlineStr">
        <is>
          <t>Jugador 8</t>
        </is>
      </c>
      <c r="B550" s="8" t="inlineStr">
        <is>
          <t>M45</t>
        </is>
      </c>
      <c r="C550" s="12" t="inlineStr">
        <is>
          <t>Austria</t>
        </is>
      </c>
      <c r="D550" s="12" t="inlineStr">
        <is>
          <t>Turquía</t>
        </is>
      </c>
      <c r="E550" s="8" t="n"/>
      <c r="F550" s="8" t="n"/>
      <c r="G550" s="8">
        <f>IF(OR(ISBLANK(E550),ISBLANK(F550)),"",IF(E550&gt;F550,"Local",IF(E550=F550,"Empate","Visitante")))</f>
        <v/>
      </c>
      <c r="H550" s="8">
        <f>IF(VLOOKUP(B550,PARTIDOS!$A:$I,9,FALSE)="Cerrado",IF(G550=VLOOKUP(B550,PARTIDOS!$A:$I,8,FALSE),IF(AND(E550=VLOOKUP(B550,PARTIDOS!$A:$I,6,FALSE),F550=VLOOKUP(B550,PARTIDOS!$A:$I,7,FALSE)),3,1),0),"")</f>
        <v/>
      </c>
    </row>
    <row r="551" ht="20.1" customHeight="1">
      <c r="A551" s="12" t="inlineStr">
        <is>
          <t>Jugador 8</t>
        </is>
      </c>
      <c r="B551" s="8" t="inlineStr">
        <is>
          <t>M46</t>
        </is>
      </c>
      <c r="C551" s="12" t="inlineStr">
        <is>
          <t>Hungría</t>
        </is>
      </c>
      <c r="D551" s="12" t="inlineStr">
        <is>
          <t>Escocia</t>
        </is>
      </c>
      <c r="E551" s="8" t="n"/>
      <c r="F551" s="8" t="n"/>
      <c r="G551" s="8">
        <f>IF(OR(ISBLANK(E551),ISBLANK(F551)),"",IF(E551&gt;F551,"Local",IF(E551=F551,"Empate","Visitante")))</f>
        <v/>
      </c>
      <c r="H551" s="8">
        <f>IF(VLOOKUP(B551,PARTIDOS!$A:$I,9,FALSE)="Cerrado",IF(G551=VLOOKUP(B551,PARTIDOS!$A:$I,8,FALSE),IF(AND(E551=VLOOKUP(B551,PARTIDOS!$A:$I,6,FALSE),F551=VLOOKUP(B551,PARTIDOS!$A:$I,7,FALSE)),3,1),0),"")</f>
        <v/>
      </c>
    </row>
    <row r="552" ht="20.1" customHeight="1">
      <c r="A552" s="12" t="inlineStr">
        <is>
          <t>Jugador 8</t>
        </is>
      </c>
      <c r="B552" s="8" t="inlineStr">
        <is>
          <t>M47</t>
        </is>
      </c>
      <c r="C552" s="12" t="inlineStr">
        <is>
          <t>Austria</t>
        </is>
      </c>
      <c r="D552" s="12" t="inlineStr">
        <is>
          <t>Escocia</t>
        </is>
      </c>
      <c r="E552" s="8" t="n"/>
      <c r="F552" s="8" t="n"/>
      <c r="G552" s="8">
        <f>IF(OR(ISBLANK(E552),ISBLANK(F552)),"",IF(E552&gt;F552,"Local",IF(E552=F552,"Empate","Visitante")))</f>
        <v/>
      </c>
      <c r="H552" s="8">
        <f>IF(VLOOKUP(B552,PARTIDOS!$A:$I,9,FALSE)="Cerrado",IF(G552=VLOOKUP(B552,PARTIDOS!$A:$I,8,FALSE),IF(AND(E552=VLOOKUP(B552,PARTIDOS!$A:$I,6,FALSE),F552=VLOOKUP(B552,PARTIDOS!$A:$I,7,FALSE)),3,1),0),"")</f>
        <v/>
      </c>
    </row>
    <row r="553" ht="20.1" customHeight="1">
      <c r="A553" s="12" t="inlineStr">
        <is>
          <t>Jugador 8</t>
        </is>
      </c>
      <c r="B553" s="8" t="inlineStr">
        <is>
          <t>M48</t>
        </is>
      </c>
      <c r="C553" s="12" t="inlineStr">
        <is>
          <t>Hungría</t>
        </is>
      </c>
      <c r="D553" s="12" t="inlineStr">
        <is>
          <t>Turquía</t>
        </is>
      </c>
      <c r="E553" s="8" t="n"/>
      <c r="F553" s="8" t="n"/>
      <c r="G553" s="8">
        <f>IF(OR(ISBLANK(E553),ISBLANK(F553)),"",IF(E553&gt;F553,"Local",IF(E553=F553,"Empate","Visitante")))</f>
        <v/>
      </c>
      <c r="H553" s="8">
        <f>IF(VLOOKUP(B553,PARTIDOS!$A:$I,9,FALSE)="Cerrado",IF(G553=VLOOKUP(B553,PARTIDOS!$A:$I,8,FALSE),IF(AND(E553=VLOOKUP(B553,PARTIDOS!$A:$I,6,FALSE),F553=VLOOKUP(B553,PARTIDOS!$A:$I,7,FALSE)),3,1),0),"")</f>
        <v/>
      </c>
    </row>
    <row r="554" ht="20.1" customHeight="1">
      <c r="A554" s="12" t="inlineStr">
        <is>
          <t>Jugador 8</t>
        </is>
      </c>
      <c r="B554" s="8" t="inlineStr">
        <is>
          <t>M49</t>
        </is>
      </c>
      <c r="C554" s="12" t="inlineStr">
        <is>
          <t>República Checa</t>
        </is>
      </c>
      <c r="D554" s="12" t="inlineStr">
        <is>
          <t>Noruega</t>
        </is>
      </c>
      <c r="E554" s="8" t="n"/>
      <c r="F554" s="8" t="n"/>
      <c r="G554" s="8">
        <f>IF(OR(ISBLANK(E554),ISBLANK(F554)),"",IF(E554&gt;F554,"Local",IF(E554=F554,"Empate","Visitante")))</f>
        <v/>
      </c>
      <c r="H554" s="8">
        <f>IF(VLOOKUP(B554,PARTIDOS!$A:$I,9,FALSE)="Cerrado",IF(G554=VLOOKUP(B554,PARTIDOS!$A:$I,8,FALSE),IF(AND(E554=VLOOKUP(B554,PARTIDOS!$A:$I,6,FALSE),F554=VLOOKUP(B554,PARTIDOS!$A:$I,7,FALSE)),3,1),0),"")</f>
        <v/>
      </c>
    </row>
    <row r="555" ht="20.1" customHeight="1">
      <c r="A555" s="12" t="inlineStr">
        <is>
          <t>Jugador 8</t>
        </is>
      </c>
      <c r="B555" s="8" t="inlineStr">
        <is>
          <t>M50</t>
        </is>
      </c>
      <c r="C555" s="12" t="inlineStr">
        <is>
          <t>Japón</t>
        </is>
      </c>
      <c r="D555" s="12" t="inlineStr">
        <is>
          <t>Irán</t>
        </is>
      </c>
      <c r="E555" s="8" t="n"/>
      <c r="F555" s="8" t="n"/>
      <c r="G555" s="8">
        <f>IF(OR(ISBLANK(E555),ISBLANK(F555)),"",IF(E555&gt;F555,"Local",IF(E555=F555,"Empate","Visitante")))</f>
        <v/>
      </c>
      <c r="H555" s="8">
        <f>IF(VLOOKUP(B555,PARTIDOS!$A:$I,9,FALSE)="Cerrado",IF(G555=VLOOKUP(B555,PARTIDOS!$A:$I,8,FALSE),IF(AND(E555=VLOOKUP(B555,PARTIDOS!$A:$I,6,FALSE),F555=VLOOKUP(B555,PARTIDOS!$A:$I,7,FALSE)),3,1),0),"")</f>
        <v/>
      </c>
    </row>
    <row r="556" ht="20.1" customHeight="1">
      <c r="A556" s="12" t="inlineStr">
        <is>
          <t>Jugador 8</t>
        </is>
      </c>
      <c r="B556" s="8" t="inlineStr">
        <is>
          <t>M51</t>
        </is>
      </c>
      <c r="C556" s="12" t="inlineStr">
        <is>
          <t>República Checa</t>
        </is>
      </c>
      <c r="D556" s="12" t="inlineStr">
        <is>
          <t>Japón</t>
        </is>
      </c>
      <c r="E556" s="8" t="n"/>
      <c r="F556" s="8" t="n"/>
      <c r="G556" s="8">
        <f>IF(OR(ISBLANK(E556),ISBLANK(F556)),"",IF(E556&gt;F556,"Local",IF(E556=F556,"Empate","Visitante")))</f>
        <v/>
      </c>
      <c r="H556" s="8">
        <f>IF(VLOOKUP(B556,PARTIDOS!$A:$I,9,FALSE)="Cerrado",IF(G556=VLOOKUP(B556,PARTIDOS!$A:$I,8,FALSE),IF(AND(E556=VLOOKUP(B556,PARTIDOS!$A:$I,6,FALSE),F556=VLOOKUP(B556,PARTIDOS!$A:$I,7,FALSE)),3,1),0),"")</f>
        <v/>
      </c>
    </row>
    <row r="557" ht="20.1" customHeight="1">
      <c r="A557" s="12" t="inlineStr">
        <is>
          <t>Jugador 8</t>
        </is>
      </c>
      <c r="B557" s="8" t="inlineStr">
        <is>
          <t>M52</t>
        </is>
      </c>
      <c r="C557" s="12" t="inlineStr">
        <is>
          <t>Noruega</t>
        </is>
      </c>
      <c r="D557" s="12" t="inlineStr">
        <is>
          <t>Irán</t>
        </is>
      </c>
      <c r="E557" s="8" t="n"/>
      <c r="F557" s="8" t="n"/>
      <c r="G557" s="8">
        <f>IF(OR(ISBLANK(E557),ISBLANK(F557)),"",IF(E557&gt;F557,"Local",IF(E557=F557,"Empate","Visitante")))</f>
        <v/>
      </c>
      <c r="H557" s="8">
        <f>IF(VLOOKUP(B557,PARTIDOS!$A:$I,9,FALSE)="Cerrado",IF(G557=VLOOKUP(B557,PARTIDOS!$A:$I,8,FALSE),IF(AND(E557=VLOOKUP(B557,PARTIDOS!$A:$I,6,FALSE),F557=VLOOKUP(B557,PARTIDOS!$A:$I,7,FALSE)),3,1),0),"")</f>
        <v/>
      </c>
    </row>
    <row r="558" ht="20.1" customHeight="1">
      <c r="A558" s="12" t="inlineStr">
        <is>
          <t>Jugador 8</t>
        </is>
      </c>
      <c r="B558" s="8" t="inlineStr">
        <is>
          <t>M53</t>
        </is>
      </c>
      <c r="C558" s="12" t="inlineStr">
        <is>
          <t>República Checa</t>
        </is>
      </c>
      <c r="D558" s="12" t="inlineStr">
        <is>
          <t>Irán</t>
        </is>
      </c>
      <c r="E558" s="8" t="n"/>
      <c r="F558" s="8" t="n"/>
      <c r="G558" s="8">
        <f>IF(OR(ISBLANK(E558),ISBLANK(F558)),"",IF(E558&gt;F558,"Local",IF(E558=F558,"Empate","Visitante")))</f>
        <v/>
      </c>
      <c r="H558" s="8">
        <f>IF(VLOOKUP(B558,PARTIDOS!$A:$I,9,FALSE)="Cerrado",IF(G558=VLOOKUP(B558,PARTIDOS!$A:$I,8,FALSE),IF(AND(E558=VLOOKUP(B558,PARTIDOS!$A:$I,6,FALSE),F558=VLOOKUP(B558,PARTIDOS!$A:$I,7,FALSE)),3,1),0),"")</f>
        <v/>
      </c>
    </row>
    <row r="559" ht="20.1" customHeight="1">
      <c r="A559" s="12" t="inlineStr">
        <is>
          <t>Jugador 8</t>
        </is>
      </c>
      <c r="B559" s="8" t="inlineStr">
        <is>
          <t>M54</t>
        </is>
      </c>
      <c r="C559" s="12" t="inlineStr">
        <is>
          <t>Noruega</t>
        </is>
      </c>
      <c r="D559" s="12" t="inlineStr">
        <is>
          <t>Japón</t>
        </is>
      </c>
      <c r="E559" s="8" t="n"/>
      <c r="F559" s="8" t="n"/>
      <c r="G559" s="8">
        <f>IF(OR(ISBLANK(E559),ISBLANK(F559)),"",IF(E559&gt;F559,"Local",IF(E559=F559,"Empate","Visitante")))</f>
        <v/>
      </c>
      <c r="H559" s="8">
        <f>IF(VLOOKUP(B559,PARTIDOS!$A:$I,9,FALSE)="Cerrado",IF(G559=VLOOKUP(B559,PARTIDOS!$A:$I,8,FALSE),IF(AND(E559=VLOOKUP(B559,PARTIDOS!$A:$I,6,FALSE),F559=VLOOKUP(B559,PARTIDOS!$A:$I,7,FALSE)),3,1),0),"")</f>
        <v/>
      </c>
    </row>
    <row r="560" ht="20.1" customHeight="1">
      <c r="A560" s="12" t="inlineStr">
        <is>
          <t>Jugador 8</t>
        </is>
      </c>
      <c r="B560" s="8" t="inlineStr">
        <is>
          <t>M55</t>
        </is>
      </c>
      <c r="C560" s="12" t="inlineStr">
        <is>
          <t>Corea del Sur</t>
        </is>
      </c>
      <c r="D560" s="12" t="inlineStr">
        <is>
          <t>Australia</t>
        </is>
      </c>
      <c r="E560" s="8" t="n"/>
      <c r="F560" s="8" t="n"/>
      <c r="G560" s="8">
        <f>IF(OR(ISBLANK(E560),ISBLANK(F560)),"",IF(E560&gt;F560,"Local",IF(E560=F560,"Empate","Visitante")))</f>
        <v/>
      </c>
      <c r="H560" s="8">
        <f>IF(VLOOKUP(B560,PARTIDOS!$A:$I,9,FALSE)="Cerrado",IF(G560=VLOOKUP(B560,PARTIDOS!$A:$I,8,FALSE),IF(AND(E560=VLOOKUP(B560,PARTIDOS!$A:$I,6,FALSE),F560=VLOOKUP(B560,PARTIDOS!$A:$I,7,FALSE)),3,1),0),"")</f>
        <v/>
      </c>
    </row>
    <row r="561" ht="20.1" customHeight="1">
      <c r="A561" s="12" t="inlineStr">
        <is>
          <t>Jugador 8</t>
        </is>
      </c>
      <c r="B561" s="8" t="inlineStr">
        <is>
          <t>M56</t>
        </is>
      </c>
      <c r="C561" s="12" t="inlineStr">
        <is>
          <t>Marruecos</t>
        </is>
      </c>
      <c r="D561" s="12" t="inlineStr">
        <is>
          <t>Senegal</t>
        </is>
      </c>
      <c r="E561" s="8" t="n"/>
      <c r="F561" s="8" t="n"/>
      <c r="G561" s="8">
        <f>IF(OR(ISBLANK(E561),ISBLANK(F561)),"",IF(E561&gt;F561,"Local",IF(E561=F561,"Empate","Visitante")))</f>
        <v/>
      </c>
      <c r="H561" s="8">
        <f>IF(VLOOKUP(B561,PARTIDOS!$A:$I,9,FALSE)="Cerrado",IF(G561=VLOOKUP(B561,PARTIDOS!$A:$I,8,FALSE),IF(AND(E561=VLOOKUP(B561,PARTIDOS!$A:$I,6,FALSE),F561=VLOOKUP(B561,PARTIDOS!$A:$I,7,FALSE)),3,1),0),"")</f>
        <v/>
      </c>
    </row>
    <row r="562" ht="20.1" customHeight="1">
      <c r="A562" s="12" t="inlineStr">
        <is>
          <t>Jugador 8</t>
        </is>
      </c>
      <c r="B562" s="8" t="inlineStr">
        <is>
          <t>M57</t>
        </is>
      </c>
      <c r="C562" s="12" t="inlineStr">
        <is>
          <t>Corea del Sur</t>
        </is>
      </c>
      <c r="D562" s="12" t="inlineStr">
        <is>
          <t>Marruecos</t>
        </is>
      </c>
      <c r="E562" s="8" t="n"/>
      <c r="F562" s="8" t="n"/>
      <c r="G562" s="8">
        <f>IF(OR(ISBLANK(E562),ISBLANK(F562)),"",IF(E562&gt;F562,"Local",IF(E562=F562,"Empate","Visitante")))</f>
        <v/>
      </c>
      <c r="H562" s="8">
        <f>IF(VLOOKUP(B562,PARTIDOS!$A:$I,9,FALSE)="Cerrado",IF(G562=VLOOKUP(B562,PARTIDOS!$A:$I,8,FALSE),IF(AND(E562=VLOOKUP(B562,PARTIDOS!$A:$I,6,FALSE),F562=VLOOKUP(B562,PARTIDOS!$A:$I,7,FALSE)),3,1),0),"")</f>
        <v/>
      </c>
    </row>
    <row r="563" ht="20.1" customHeight="1">
      <c r="A563" s="12" t="inlineStr">
        <is>
          <t>Jugador 8</t>
        </is>
      </c>
      <c r="B563" s="8" t="inlineStr">
        <is>
          <t>M58</t>
        </is>
      </c>
      <c r="C563" s="12" t="inlineStr">
        <is>
          <t>Australia</t>
        </is>
      </c>
      <c r="D563" s="12" t="inlineStr">
        <is>
          <t>Senegal</t>
        </is>
      </c>
      <c r="E563" s="8" t="n"/>
      <c r="F563" s="8" t="n"/>
      <c r="G563" s="8">
        <f>IF(OR(ISBLANK(E563),ISBLANK(F563)),"",IF(E563&gt;F563,"Local",IF(E563=F563,"Empate","Visitante")))</f>
        <v/>
      </c>
      <c r="H563" s="8">
        <f>IF(VLOOKUP(B563,PARTIDOS!$A:$I,9,FALSE)="Cerrado",IF(G563=VLOOKUP(B563,PARTIDOS!$A:$I,8,FALSE),IF(AND(E563=VLOOKUP(B563,PARTIDOS!$A:$I,6,FALSE),F563=VLOOKUP(B563,PARTIDOS!$A:$I,7,FALSE)),3,1),0),"")</f>
        <v/>
      </c>
    </row>
    <row r="564" ht="20.1" customHeight="1">
      <c r="A564" s="12" t="inlineStr">
        <is>
          <t>Jugador 8</t>
        </is>
      </c>
      <c r="B564" s="8" t="inlineStr">
        <is>
          <t>M59</t>
        </is>
      </c>
      <c r="C564" s="12" t="inlineStr">
        <is>
          <t>Corea del Sur</t>
        </is>
      </c>
      <c r="D564" s="12" t="inlineStr">
        <is>
          <t>Senegal</t>
        </is>
      </c>
      <c r="E564" s="8" t="n"/>
      <c r="F564" s="8" t="n"/>
      <c r="G564" s="8">
        <f>IF(OR(ISBLANK(E564),ISBLANK(F564)),"",IF(E564&gt;F564,"Local",IF(E564=F564,"Empate","Visitante")))</f>
        <v/>
      </c>
      <c r="H564" s="8">
        <f>IF(VLOOKUP(B564,PARTIDOS!$A:$I,9,FALSE)="Cerrado",IF(G564=VLOOKUP(B564,PARTIDOS!$A:$I,8,FALSE),IF(AND(E564=VLOOKUP(B564,PARTIDOS!$A:$I,6,FALSE),F564=VLOOKUP(B564,PARTIDOS!$A:$I,7,FALSE)),3,1),0),"")</f>
        <v/>
      </c>
    </row>
    <row r="565" ht="20.1" customHeight="1">
      <c r="A565" s="12" t="inlineStr">
        <is>
          <t>Jugador 8</t>
        </is>
      </c>
      <c r="B565" s="8" t="inlineStr">
        <is>
          <t>M60</t>
        </is>
      </c>
      <c r="C565" s="12" t="inlineStr">
        <is>
          <t>Australia</t>
        </is>
      </c>
      <c r="D565" s="12" t="inlineStr">
        <is>
          <t>Marruecos</t>
        </is>
      </c>
      <c r="E565" s="8" t="n"/>
      <c r="F565" s="8" t="n"/>
      <c r="G565" s="8">
        <f>IF(OR(ISBLANK(E565),ISBLANK(F565)),"",IF(E565&gt;F565,"Local",IF(E565=F565,"Empate","Visitante")))</f>
        <v/>
      </c>
      <c r="H565" s="8">
        <f>IF(VLOOKUP(B565,PARTIDOS!$A:$I,9,FALSE)="Cerrado",IF(G565=VLOOKUP(B565,PARTIDOS!$A:$I,8,FALSE),IF(AND(E565=VLOOKUP(B565,PARTIDOS!$A:$I,6,FALSE),F565=VLOOKUP(B565,PARTIDOS!$A:$I,7,FALSE)),3,1),0),"")</f>
        <v/>
      </c>
    </row>
    <row r="566" ht="20.1" customHeight="1">
      <c r="A566" s="12" t="inlineStr">
        <is>
          <t>Jugador 8</t>
        </is>
      </c>
      <c r="B566" s="8" t="inlineStr">
        <is>
          <t>M61</t>
        </is>
      </c>
      <c r="C566" s="12" t="inlineStr">
        <is>
          <t>Túnez</t>
        </is>
      </c>
      <c r="D566" s="12" t="inlineStr">
        <is>
          <t>Nigeria</t>
        </is>
      </c>
      <c r="E566" s="8" t="n"/>
      <c r="F566" s="8" t="n"/>
      <c r="G566" s="8">
        <f>IF(OR(ISBLANK(E566),ISBLANK(F566)),"",IF(E566&gt;F566,"Local",IF(E566=F566,"Empate","Visitante")))</f>
        <v/>
      </c>
      <c r="H566" s="8">
        <f>IF(VLOOKUP(B566,PARTIDOS!$A:$I,9,FALSE)="Cerrado",IF(G566=VLOOKUP(B566,PARTIDOS!$A:$I,8,FALSE),IF(AND(E566=VLOOKUP(B566,PARTIDOS!$A:$I,6,FALSE),F566=VLOOKUP(B566,PARTIDOS!$A:$I,7,FALSE)),3,1),0),"")</f>
        <v/>
      </c>
    </row>
    <row r="567" ht="20.1" customHeight="1">
      <c r="A567" s="12" t="inlineStr">
        <is>
          <t>Jugador 8</t>
        </is>
      </c>
      <c r="B567" s="8" t="inlineStr">
        <is>
          <t>M62</t>
        </is>
      </c>
      <c r="C567" s="12" t="inlineStr">
        <is>
          <t>Camerún</t>
        </is>
      </c>
      <c r="D567" s="12" t="inlineStr">
        <is>
          <t>Egipto</t>
        </is>
      </c>
      <c r="E567" s="8" t="n"/>
      <c r="F567" s="8" t="n"/>
      <c r="G567" s="8">
        <f>IF(OR(ISBLANK(E567),ISBLANK(F567)),"",IF(E567&gt;F567,"Local",IF(E567=F567,"Empate","Visitante")))</f>
        <v/>
      </c>
      <c r="H567" s="8">
        <f>IF(VLOOKUP(B567,PARTIDOS!$A:$I,9,FALSE)="Cerrado",IF(G567=VLOOKUP(B567,PARTIDOS!$A:$I,8,FALSE),IF(AND(E567=VLOOKUP(B567,PARTIDOS!$A:$I,6,FALSE),F567=VLOOKUP(B567,PARTIDOS!$A:$I,7,FALSE)),3,1),0),"")</f>
        <v/>
      </c>
    </row>
    <row r="568" ht="20.1" customHeight="1">
      <c r="A568" s="12" t="inlineStr">
        <is>
          <t>Jugador 8</t>
        </is>
      </c>
      <c r="B568" s="8" t="inlineStr">
        <is>
          <t>M63</t>
        </is>
      </c>
      <c r="C568" s="12" t="inlineStr">
        <is>
          <t>Túnez</t>
        </is>
      </c>
      <c r="D568" s="12" t="inlineStr">
        <is>
          <t>Camerún</t>
        </is>
      </c>
      <c r="E568" s="8" t="n"/>
      <c r="F568" s="8" t="n"/>
      <c r="G568" s="8">
        <f>IF(OR(ISBLANK(E568),ISBLANK(F568)),"",IF(E568&gt;F568,"Local",IF(E568=F568,"Empate","Visitante")))</f>
        <v/>
      </c>
      <c r="H568" s="8">
        <f>IF(VLOOKUP(B568,PARTIDOS!$A:$I,9,FALSE)="Cerrado",IF(G568=VLOOKUP(B568,PARTIDOS!$A:$I,8,FALSE),IF(AND(E568=VLOOKUP(B568,PARTIDOS!$A:$I,6,FALSE),F568=VLOOKUP(B568,PARTIDOS!$A:$I,7,FALSE)),3,1),0),"")</f>
        <v/>
      </c>
    </row>
    <row r="569" ht="20.1" customHeight="1">
      <c r="A569" s="12" t="inlineStr">
        <is>
          <t>Jugador 8</t>
        </is>
      </c>
      <c r="B569" s="8" t="inlineStr">
        <is>
          <t>M64</t>
        </is>
      </c>
      <c r="C569" s="12" t="inlineStr">
        <is>
          <t>Nigeria</t>
        </is>
      </c>
      <c r="D569" s="12" t="inlineStr">
        <is>
          <t>Egipto</t>
        </is>
      </c>
      <c r="E569" s="8" t="n"/>
      <c r="F569" s="8" t="n"/>
      <c r="G569" s="8">
        <f>IF(OR(ISBLANK(E569),ISBLANK(F569)),"",IF(E569&gt;F569,"Local",IF(E569=F569,"Empate","Visitante")))</f>
        <v/>
      </c>
      <c r="H569" s="8">
        <f>IF(VLOOKUP(B569,PARTIDOS!$A:$I,9,FALSE)="Cerrado",IF(G569=VLOOKUP(B569,PARTIDOS!$A:$I,8,FALSE),IF(AND(E569=VLOOKUP(B569,PARTIDOS!$A:$I,6,FALSE),F569=VLOOKUP(B569,PARTIDOS!$A:$I,7,FALSE)),3,1),0),"")</f>
        <v/>
      </c>
    </row>
    <row r="570" ht="20.1" customHeight="1">
      <c r="A570" s="12" t="inlineStr">
        <is>
          <t>Jugador 8</t>
        </is>
      </c>
      <c r="B570" s="8" t="inlineStr">
        <is>
          <t>M65</t>
        </is>
      </c>
      <c r="C570" s="12" t="inlineStr">
        <is>
          <t>Túnez</t>
        </is>
      </c>
      <c r="D570" s="12" t="inlineStr">
        <is>
          <t>Egipto</t>
        </is>
      </c>
      <c r="E570" s="8" t="n"/>
      <c r="F570" s="8" t="n"/>
      <c r="G570" s="8">
        <f>IF(OR(ISBLANK(E570),ISBLANK(F570)),"",IF(E570&gt;F570,"Local",IF(E570=F570,"Empate","Visitante")))</f>
        <v/>
      </c>
      <c r="H570" s="8">
        <f>IF(VLOOKUP(B570,PARTIDOS!$A:$I,9,FALSE)="Cerrado",IF(G570=VLOOKUP(B570,PARTIDOS!$A:$I,8,FALSE),IF(AND(E570=VLOOKUP(B570,PARTIDOS!$A:$I,6,FALSE),F570=VLOOKUP(B570,PARTIDOS!$A:$I,7,FALSE)),3,1),0),"")</f>
        <v/>
      </c>
    </row>
    <row r="571" ht="20.1" customHeight="1">
      <c r="A571" s="12" t="inlineStr">
        <is>
          <t>Jugador 8</t>
        </is>
      </c>
      <c r="B571" s="8" t="inlineStr">
        <is>
          <t>M66</t>
        </is>
      </c>
      <c r="C571" s="12" t="inlineStr">
        <is>
          <t>Nigeria</t>
        </is>
      </c>
      <c r="D571" s="12" t="inlineStr">
        <is>
          <t>Camerún</t>
        </is>
      </c>
      <c r="E571" s="8" t="n"/>
      <c r="F571" s="8" t="n"/>
      <c r="G571" s="8">
        <f>IF(OR(ISBLANK(E571),ISBLANK(F571)),"",IF(E571&gt;F571,"Local",IF(E571=F571,"Empate","Visitante")))</f>
        <v/>
      </c>
      <c r="H571" s="8">
        <f>IF(VLOOKUP(B571,PARTIDOS!$A:$I,9,FALSE)="Cerrado",IF(G571=VLOOKUP(B571,PARTIDOS!$A:$I,8,FALSE),IF(AND(E571=VLOOKUP(B571,PARTIDOS!$A:$I,6,FALSE),F571=VLOOKUP(B571,PARTIDOS!$A:$I,7,FALSE)),3,1),0),"")</f>
        <v/>
      </c>
    </row>
    <row r="572" ht="20.1" customHeight="1">
      <c r="A572" s="12" t="inlineStr">
        <is>
          <t>Jugador 8</t>
        </is>
      </c>
      <c r="B572" s="8" t="inlineStr">
        <is>
          <t>M67</t>
        </is>
      </c>
      <c r="C572" s="12" t="inlineStr">
        <is>
          <t>Costa de Marfil</t>
        </is>
      </c>
      <c r="D572" s="12" t="inlineStr">
        <is>
          <t>Sudáfrica</t>
        </is>
      </c>
      <c r="E572" s="8" t="n"/>
      <c r="F572" s="8" t="n"/>
      <c r="G572" s="8">
        <f>IF(OR(ISBLANK(E572),ISBLANK(F572)),"",IF(E572&gt;F572,"Local",IF(E572=F572,"Empate","Visitante")))</f>
        <v/>
      </c>
      <c r="H572" s="8">
        <f>IF(VLOOKUP(B572,PARTIDOS!$A:$I,9,FALSE)="Cerrado",IF(G572=VLOOKUP(B572,PARTIDOS!$A:$I,8,FALSE),IF(AND(E572=VLOOKUP(B572,PARTIDOS!$A:$I,6,FALSE),F572=VLOOKUP(B572,PARTIDOS!$A:$I,7,FALSE)),3,1),0),"")</f>
        <v/>
      </c>
    </row>
    <row r="573" ht="20.1" customHeight="1">
      <c r="A573" s="12" t="inlineStr">
        <is>
          <t>Jugador 8</t>
        </is>
      </c>
      <c r="B573" s="8" t="inlineStr">
        <is>
          <t>M68</t>
        </is>
      </c>
      <c r="C573" s="12" t="inlineStr">
        <is>
          <t>Panáma</t>
        </is>
      </c>
      <c r="D573" s="12" t="inlineStr">
        <is>
          <t>Nueva Zelanda</t>
        </is>
      </c>
      <c r="E573" s="8" t="n"/>
      <c r="F573" s="8" t="n"/>
      <c r="G573" s="8">
        <f>IF(OR(ISBLANK(E573),ISBLANK(F573)),"",IF(E573&gt;F573,"Local",IF(E573=F573,"Empate","Visitante")))</f>
        <v/>
      </c>
      <c r="H573" s="8">
        <f>IF(VLOOKUP(B573,PARTIDOS!$A:$I,9,FALSE)="Cerrado",IF(G573=VLOOKUP(B573,PARTIDOS!$A:$I,8,FALSE),IF(AND(E573=VLOOKUP(B573,PARTIDOS!$A:$I,6,FALSE),F573=VLOOKUP(B573,PARTIDOS!$A:$I,7,FALSE)),3,1),0),"")</f>
        <v/>
      </c>
    </row>
    <row r="574" ht="20.1" customHeight="1">
      <c r="A574" s="12" t="inlineStr">
        <is>
          <t>Jugador 8</t>
        </is>
      </c>
      <c r="B574" s="8" t="inlineStr">
        <is>
          <t>M69</t>
        </is>
      </c>
      <c r="C574" s="12" t="inlineStr">
        <is>
          <t>Costa de Marfil</t>
        </is>
      </c>
      <c r="D574" s="12" t="inlineStr">
        <is>
          <t>Panáma</t>
        </is>
      </c>
      <c r="E574" s="8" t="n"/>
      <c r="F574" s="8" t="n"/>
      <c r="G574" s="8">
        <f>IF(OR(ISBLANK(E574),ISBLANK(F574)),"",IF(E574&gt;F574,"Local",IF(E574=F574,"Empate","Visitante")))</f>
        <v/>
      </c>
      <c r="H574" s="8">
        <f>IF(VLOOKUP(B574,PARTIDOS!$A:$I,9,FALSE)="Cerrado",IF(G574=VLOOKUP(B574,PARTIDOS!$A:$I,8,FALSE),IF(AND(E574=VLOOKUP(B574,PARTIDOS!$A:$I,6,FALSE),F574=VLOOKUP(B574,PARTIDOS!$A:$I,7,FALSE)),3,1),0),"")</f>
        <v/>
      </c>
    </row>
    <row r="575" ht="20.1" customHeight="1">
      <c r="A575" s="12" t="inlineStr">
        <is>
          <t>Jugador 8</t>
        </is>
      </c>
      <c r="B575" s="8" t="inlineStr">
        <is>
          <t>M70</t>
        </is>
      </c>
      <c r="C575" s="12" t="inlineStr">
        <is>
          <t>Sudáfrica</t>
        </is>
      </c>
      <c r="D575" s="12" t="inlineStr">
        <is>
          <t>Nueva Zelanda</t>
        </is>
      </c>
      <c r="E575" s="8" t="n"/>
      <c r="F575" s="8" t="n"/>
      <c r="G575" s="8">
        <f>IF(OR(ISBLANK(E575),ISBLANK(F575)),"",IF(E575&gt;F575,"Local",IF(E575=F575,"Empate","Visitante")))</f>
        <v/>
      </c>
      <c r="H575" s="8">
        <f>IF(VLOOKUP(B575,PARTIDOS!$A:$I,9,FALSE)="Cerrado",IF(G575=VLOOKUP(B575,PARTIDOS!$A:$I,8,FALSE),IF(AND(E575=VLOOKUP(B575,PARTIDOS!$A:$I,6,FALSE),F575=VLOOKUP(B575,PARTIDOS!$A:$I,7,FALSE)),3,1),0),"")</f>
        <v/>
      </c>
    </row>
    <row r="576" ht="20.1" customHeight="1">
      <c r="A576" s="12" t="inlineStr">
        <is>
          <t>Jugador 8</t>
        </is>
      </c>
      <c r="B576" s="8" t="inlineStr">
        <is>
          <t>M71</t>
        </is>
      </c>
      <c r="C576" s="12" t="inlineStr">
        <is>
          <t>Costa de Marfil</t>
        </is>
      </c>
      <c r="D576" s="12" t="inlineStr">
        <is>
          <t>Nueva Zelanda</t>
        </is>
      </c>
      <c r="E576" s="8" t="n"/>
      <c r="F576" s="8" t="n"/>
      <c r="G576" s="8">
        <f>IF(OR(ISBLANK(E576),ISBLANK(F576)),"",IF(E576&gt;F576,"Local",IF(E576=F576,"Empate","Visitante")))</f>
        <v/>
      </c>
      <c r="H576" s="8">
        <f>IF(VLOOKUP(B576,PARTIDOS!$A:$I,9,FALSE)="Cerrado",IF(G576=VLOOKUP(B576,PARTIDOS!$A:$I,8,FALSE),IF(AND(E576=VLOOKUP(B576,PARTIDOS!$A:$I,6,FALSE),F576=VLOOKUP(B576,PARTIDOS!$A:$I,7,FALSE)),3,1),0),"")</f>
        <v/>
      </c>
    </row>
    <row r="577" ht="20.1" customHeight="1">
      <c r="A577" s="12" t="inlineStr">
        <is>
          <t>Jugador 8</t>
        </is>
      </c>
      <c r="B577" s="8" t="inlineStr">
        <is>
          <t>M72</t>
        </is>
      </c>
      <c r="C577" s="12" t="inlineStr">
        <is>
          <t>Sudáfrica</t>
        </is>
      </c>
      <c r="D577" s="12" t="inlineStr">
        <is>
          <t>Panáma</t>
        </is>
      </c>
      <c r="E577" s="8" t="n"/>
      <c r="F577" s="8" t="n"/>
      <c r="G577" s="8">
        <f>IF(OR(ISBLANK(E577),ISBLANK(F577)),"",IF(E577&gt;F577,"Local",IF(E577=F577,"Empate","Visitante")))</f>
        <v/>
      </c>
      <c r="H577" s="8">
        <f>IF(VLOOKUP(B577,PARTIDOS!$A:$I,9,FALSE)="Cerrado",IF(G577=VLOOKUP(B577,PARTIDOS!$A:$I,8,FALSE),IF(AND(E577=VLOOKUP(B577,PARTIDOS!$A:$I,6,FALSE),F577=VLOOKUP(B577,PARTIDOS!$A:$I,7,FALSE)),3,1),0),"")</f>
        <v/>
      </c>
    </row>
    <row r="578" ht="20.1" customHeight="1">
      <c r="A578" s="12" t="inlineStr">
        <is>
          <t>Jugador 9</t>
        </is>
      </c>
      <c r="B578" s="8" t="inlineStr">
        <is>
          <t>M01</t>
        </is>
      </c>
      <c r="C578" s="12" t="inlineStr">
        <is>
          <t>México</t>
        </is>
      </c>
      <c r="D578" s="12" t="inlineStr">
        <is>
          <t>EEUU</t>
        </is>
      </c>
      <c r="E578" s="8" t="n"/>
      <c r="F578" s="8" t="n"/>
      <c r="G578" s="8">
        <f>IF(OR(ISBLANK(E578),ISBLANK(F578)),"",IF(E578&gt;F578,"Local",IF(E578=F578,"Empate","Visitante")))</f>
        <v/>
      </c>
      <c r="H578" s="8">
        <f>IF(VLOOKUP(B578,PARTIDOS!$A:$I,9,FALSE)="Cerrado",IF(G578=VLOOKUP(B578,PARTIDOS!$A:$I,8,FALSE),IF(AND(E578=VLOOKUP(B578,PARTIDOS!$A:$I,6,FALSE),F578=VLOOKUP(B578,PARTIDOS!$A:$I,7,FALSE)),3,1),0),"")</f>
        <v/>
      </c>
    </row>
    <row r="579" ht="20.1" customHeight="1">
      <c r="A579" s="12" t="inlineStr">
        <is>
          <t>Jugador 9</t>
        </is>
      </c>
      <c r="B579" s="8" t="inlineStr">
        <is>
          <t>M02</t>
        </is>
      </c>
      <c r="C579" s="12" t="inlineStr">
        <is>
          <t>Canadá</t>
        </is>
      </c>
      <c r="D579" s="12" t="inlineStr">
        <is>
          <t>Jamaica</t>
        </is>
      </c>
      <c r="E579" s="8" t="n"/>
      <c r="F579" s="8" t="n"/>
      <c r="G579" s="8">
        <f>IF(OR(ISBLANK(E579),ISBLANK(F579)),"",IF(E579&gt;F579,"Local",IF(E579=F579,"Empate","Visitante")))</f>
        <v/>
      </c>
      <c r="H579" s="8">
        <f>IF(VLOOKUP(B579,PARTIDOS!$A:$I,9,FALSE)="Cerrado",IF(G579=VLOOKUP(B579,PARTIDOS!$A:$I,8,FALSE),IF(AND(E579=VLOOKUP(B579,PARTIDOS!$A:$I,6,FALSE),F579=VLOOKUP(B579,PARTIDOS!$A:$I,7,FALSE)),3,1),0),"")</f>
        <v/>
      </c>
    </row>
    <row r="580" ht="20.1" customHeight="1">
      <c r="A580" s="12" t="inlineStr">
        <is>
          <t>Jugador 9</t>
        </is>
      </c>
      <c r="B580" s="8" t="inlineStr">
        <is>
          <t>M03</t>
        </is>
      </c>
      <c r="C580" s="12" t="inlineStr">
        <is>
          <t>México</t>
        </is>
      </c>
      <c r="D580" s="12" t="inlineStr">
        <is>
          <t>Canadá</t>
        </is>
      </c>
      <c r="E580" s="8" t="n"/>
      <c r="F580" s="8" t="n"/>
      <c r="G580" s="8">
        <f>IF(OR(ISBLANK(E580),ISBLANK(F580)),"",IF(E580&gt;F580,"Local",IF(E580=F580,"Empate","Visitante")))</f>
        <v/>
      </c>
      <c r="H580" s="8">
        <f>IF(VLOOKUP(B580,PARTIDOS!$A:$I,9,FALSE)="Cerrado",IF(G580=VLOOKUP(B580,PARTIDOS!$A:$I,8,FALSE),IF(AND(E580=VLOOKUP(B580,PARTIDOS!$A:$I,6,FALSE),F580=VLOOKUP(B580,PARTIDOS!$A:$I,7,FALSE)),3,1),0),"")</f>
        <v/>
      </c>
    </row>
    <row r="581" ht="20.1" customHeight="1">
      <c r="A581" s="12" t="inlineStr">
        <is>
          <t>Jugador 9</t>
        </is>
      </c>
      <c r="B581" s="8" t="inlineStr">
        <is>
          <t>M04</t>
        </is>
      </c>
      <c r="C581" s="12" t="inlineStr">
        <is>
          <t>EEUU</t>
        </is>
      </c>
      <c r="D581" s="12" t="inlineStr">
        <is>
          <t>Jamaica</t>
        </is>
      </c>
      <c r="E581" s="8" t="n"/>
      <c r="F581" s="8" t="n"/>
      <c r="G581" s="8">
        <f>IF(OR(ISBLANK(E581),ISBLANK(F581)),"",IF(E581&gt;F581,"Local",IF(E581=F581,"Empate","Visitante")))</f>
        <v/>
      </c>
      <c r="H581" s="8">
        <f>IF(VLOOKUP(B581,PARTIDOS!$A:$I,9,FALSE)="Cerrado",IF(G581=VLOOKUP(B581,PARTIDOS!$A:$I,8,FALSE),IF(AND(E581=VLOOKUP(B581,PARTIDOS!$A:$I,6,FALSE),F581=VLOOKUP(B581,PARTIDOS!$A:$I,7,FALSE)),3,1),0),"")</f>
        <v/>
      </c>
    </row>
    <row r="582" ht="20.1" customHeight="1">
      <c r="A582" s="12" t="inlineStr">
        <is>
          <t>Jugador 9</t>
        </is>
      </c>
      <c r="B582" s="8" t="inlineStr">
        <is>
          <t>M05</t>
        </is>
      </c>
      <c r="C582" s="12" t="inlineStr">
        <is>
          <t>México</t>
        </is>
      </c>
      <c r="D582" s="12" t="inlineStr">
        <is>
          <t>Jamaica</t>
        </is>
      </c>
      <c r="E582" s="8" t="n"/>
      <c r="F582" s="8" t="n"/>
      <c r="G582" s="8">
        <f>IF(OR(ISBLANK(E582),ISBLANK(F582)),"",IF(E582&gt;F582,"Local",IF(E582=F582,"Empate","Visitante")))</f>
        <v/>
      </c>
      <c r="H582" s="8">
        <f>IF(VLOOKUP(B582,PARTIDOS!$A:$I,9,FALSE)="Cerrado",IF(G582=VLOOKUP(B582,PARTIDOS!$A:$I,8,FALSE),IF(AND(E582=VLOOKUP(B582,PARTIDOS!$A:$I,6,FALSE),F582=VLOOKUP(B582,PARTIDOS!$A:$I,7,FALSE)),3,1),0),"")</f>
        <v/>
      </c>
    </row>
    <row r="583" ht="20.1" customHeight="1">
      <c r="A583" s="12" t="inlineStr">
        <is>
          <t>Jugador 9</t>
        </is>
      </c>
      <c r="B583" s="8" t="inlineStr">
        <is>
          <t>M06</t>
        </is>
      </c>
      <c r="C583" s="12" t="inlineStr">
        <is>
          <t>EEUU</t>
        </is>
      </c>
      <c r="D583" s="12" t="inlineStr">
        <is>
          <t>Canadá</t>
        </is>
      </c>
      <c r="E583" s="8" t="n"/>
      <c r="F583" s="8" t="n"/>
      <c r="G583" s="8">
        <f>IF(OR(ISBLANK(E583),ISBLANK(F583)),"",IF(E583&gt;F583,"Local",IF(E583=F583,"Empate","Visitante")))</f>
        <v/>
      </c>
      <c r="H583" s="8">
        <f>IF(VLOOKUP(B583,PARTIDOS!$A:$I,9,FALSE)="Cerrado",IF(G583=VLOOKUP(B583,PARTIDOS!$A:$I,8,FALSE),IF(AND(E583=VLOOKUP(B583,PARTIDOS!$A:$I,6,FALSE),F583=VLOOKUP(B583,PARTIDOS!$A:$I,7,FALSE)),3,1),0),"")</f>
        <v/>
      </c>
    </row>
    <row r="584" ht="20.1" customHeight="1">
      <c r="A584" s="12" t="inlineStr">
        <is>
          <t>Jugador 9</t>
        </is>
      </c>
      <c r="B584" s="8" t="inlineStr">
        <is>
          <t>M07</t>
        </is>
      </c>
      <c r="C584" s="12" t="inlineStr">
        <is>
          <t>Argentina</t>
        </is>
      </c>
      <c r="D584" s="12" t="inlineStr">
        <is>
          <t>Brasil</t>
        </is>
      </c>
      <c r="E584" s="8" t="n"/>
      <c r="F584" s="8" t="n"/>
      <c r="G584" s="8">
        <f>IF(OR(ISBLANK(E584),ISBLANK(F584)),"",IF(E584&gt;F584,"Local",IF(E584=F584,"Empate","Visitante")))</f>
        <v/>
      </c>
      <c r="H584" s="8">
        <f>IF(VLOOKUP(B584,PARTIDOS!$A:$I,9,FALSE)="Cerrado",IF(G584=VLOOKUP(B584,PARTIDOS!$A:$I,8,FALSE),IF(AND(E584=VLOOKUP(B584,PARTIDOS!$A:$I,6,FALSE),F584=VLOOKUP(B584,PARTIDOS!$A:$I,7,FALSE)),3,1),0),"")</f>
        <v/>
      </c>
    </row>
    <row r="585" ht="20.1" customHeight="1">
      <c r="A585" s="12" t="inlineStr">
        <is>
          <t>Jugador 9</t>
        </is>
      </c>
      <c r="B585" s="8" t="inlineStr">
        <is>
          <t>M08</t>
        </is>
      </c>
      <c r="C585" s="12" t="inlineStr">
        <is>
          <t>Colombia</t>
        </is>
      </c>
      <c r="D585" s="12" t="inlineStr">
        <is>
          <t>Uruguay</t>
        </is>
      </c>
      <c r="E585" s="8" t="n"/>
      <c r="F585" s="8" t="n"/>
      <c r="G585" s="8">
        <f>IF(OR(ISBLANK(E585),ISBLANK(F585)),"",IF(E585&gt;F585,"Local",IF(E585=F585,"Empate","Visitante")))</f>
        <v/>
      </c>
      <c r="H585" s="8">
        <f>IF(VLOOKUP(B585,PARTIDOS!$A:$I,9,FALSE)="Cerrado",IF(G585=VLOOKUP(B585,PARTIDOS!$A:$I,8,FALSE),IF(AND(E585=VLOOKUP(B585,PARTIDOS!$A:$I,6,FALSE),F585=VLOOKUP(B585,PARTIDOS!$A:$I,7,FALSE)),3,1),0),"")</f>
        <v/>
      </c>
    </row>
    <row r="586" ht="20.1" customHeight="1">
      <c r="A586" s="12" t="inlineStr">
        <is>
          <t>Jugador 9</t>
        </is>
      </c>
      <c r="B586" s="8" t="inlineStr">
        <is>
          <t>M09</t>
        </is>
      </c>
      <c r="C586" s="12" t="inlineStr">
        <is>
          <t>Argentina</t>
        </is>
      </c>
      <c r="D586" s="12" t="inlineStr">
        <is>
          <t>Colombia</t>
        </is>
      </c>
      <c r="E586" s="8" t="n"/>
      <c r="F586" s="8" t="n"/>
      <c r="G586" s="8">
        <f>IF(OR(ISBLANK(E586),ISBLANK(F586)),"",IF(E586&gt;F586,"Local",IF(E586=F586,"Empate","Visitante")))</f>
        <v/>
      </c>
      <c r="H586" s="8">
        <f>IF(VLOOKUP(B586,PARTIDOS!$A:$I,9,FALSE)="Cerrado",IF(G586=VLOOKUP(B586,PARTIDOS!$A:$I,8,FALSE),IF(AND(E586=VLOOKUP(B586,PARTIDOS!$A:$I,6,FALSE),F586=VLOOKUP(B586,PARTIDOS!$A:$I,7,FALSE)),3,1),0),"")</f>
        <v/>
      </c>
    </row>
    <row r="587" ht="20.1" customHeight="1">
      <c r="A587" s="12" t="inlineStr">
        <is>
          <t>Jugador 9</t>
        </is>
      </c>
      <c r="B587" s="8" t="inlineStr">
        <is>
          <t>M10</t>
        </is>
      </c>
      <c r="C587" s="12" t="inlineStr">
        <is>
          <t>Brasil</t>
        </is>
      </c>
      <c r="D587" s="12" t="inlineStr">
        <is>
          <t>Uruguay</t>
        </is>
      </c>
      <c r="E587" s="8" t="n"/>
      <c r="F587" s="8" t="n"/>
      <c r="G587" s="8">
        <f>IF(OR(ISBLANK(E587),ISBLANK(F587)),"",IF(E587&gt;F587,"Local",IF(E587=F587,"Empate","Visitante")))</f>
        <v/>
      </c>
      <c r="H587" s="8">
        <f>IF(VLOOKUP(B587,PARTIDOS!$A:$I,9,FALSE)="Cerrado",IF(G587=VLOOKUP(B587,PARTIDOS!$A:$I,8,FALSE),IF(AND(E587=VLOOKUP(B587,PARTIDOS!$A:$I,6,FALSE),F587=VLOOKUP(B587,PARTIDOS!$A:$I,7,FALSE)),3,1),0),"")</f>
        <v/>
      </c>
    </row>
    <row r="588" ht="20.1" customHeight="1">
      <c r="A588" s="12" t="inlineStr">
        <is>
          <t>Jugador 9</t>
        </is>
      </c>
      <c r="B588" s="8" t="inlineStr">
        <is>
          <t>M11</t>
        </is>
      </c>
      <c r="C588" s="12" t="inlineStr">
        <is>
          <t>Argentina</t>
        </is>
      </c>
      <c r="D588" s="12" t="inlineStr">
        <is>
          <t>Uruguay</t>
        </is>
      </c>
      <c r="E588" s="8" t="n"/>
      <c r="F588" s="8" t="n"/>
      <c r="G588" s="8">
        <f>IF(OR(ISBLANK(E588),ISBLANK(F588)),"",IF(E588&gt;F588,"Local",IF(E588=F588,"Empate","Visitante")))</f>
        <v/>
      </c>
      <c r="H588" s="8">
        <f>IF(VLOOKUP(B588,PARTIDOS!$A:$I,9,FALSE)="Cerrado",IF(G588=VLOOKUP(B588,PARTIDOS!$A:$I,8,FALSE),IF(AND(E588=VLOOKUP(B588,PARTIDOS!$A:$I,6,FALSE),F588=VLOOKUP(B588,PARTIDOS!$A:$I,7,FALSE)),3,1),0),"")</f>
        <v/>
      </c>
    </row>
    <row r="589" ht="20.1" customHeight="1">
      <c r="A589" s="12" t="inlineStr">
        <is>
          <t>Jugador 9</t>
        </is>
      </c>
      <c r="B589" s="8" t="inlineStr">
        <is>
          <t>M12</t>
        </is>
      </c>
      <c r="C589" s="12" t="inlineStr">
        <is>
          <t>Brasil</t>
        </is>
      </c>
      <c r="D589" s="12" t="inlineStr">
        <is>
          <t>Colombia</t>
        </is>
      </c>
      <c r="E589" s="8" t="n"/>
      <c r="F589" s="8" t="n"/>
      <c r="G589" s="8">
        <f>IF(OR(ISBLANK(E589),ISBLANK(F589)),"",IF(E589&gt;F589,"Local",IF(E589=F589,"Empate","Visitante")))</f>
        <v/>
      </c>
      <c r="H589" s="8">
        <f>IF(VLOOKUP(B589,PARTIDOS!$A:$I,9,FALSE)="Cerrado",IF(G589=VLOOKUP(B589,PARTIDOS!$A:$I,8,FALSE),IF(AND(E589=VLOOKUP(B589,PARTIDOS!$A:$I,6,FALSE),F589=VLOOKUP(B589,PARTIDOS!$A:$I,7,FALSE)),3,1),0),"")</f>
        <v/>
      </c>
    </row>
    <row r="590" ht="20.1" customHeight="1">
      <c r="A590" s="12" t="inlineStr">
        <is>
          <t>Jugador 9</t>
        </is>
      </c>
      <c r="B590" s="8" t="inlineStr">
        <is>
          <t>M13</t>
        </is>
      </c>
      <c r="C590" s="12" t="inlineStr">
        <is>
          <t>Ecuador</t>
        </is>
      </c>
      <c r="D590" s="12" t="inlineStr">
        <is>
          <t>Perú</t>
        </is>
      </c>
      <c r="E590" s="8" t="n"/>
      <c r="F590" s="8" t="n"/>
      <c r="G590" s="8">
        <f>IF(OR(ISBLANK(E590),ISBLANK(F590)),"",IF(E590&gt;F590,"Local",IF(E590=F590,"Empate","Visitante")))</f>
        <v/>
      </c>
      <c r="H590" s="8">
        <f>IF(VLOOKUP(B590,PARTIDOS!$A:$I,9,FALSE)="Cerrado",IF(G590=VLOOKUP(B590,PARTIDOS!$A:$I,8,FALSE),IF(AND(E590=VLOOKUP(B590,PARTIDOS!$A:$I,6,FALSE),F590=VLOOKUP(B590,PARTIDOS!$A:$I,7,FALSE)),3,1),0),"")</f>
        <v/>
      </c>
    </row>
    <row r="591" ht="20.1" customHeight="1">
      <c r="A591" s="12" t="inlineStr">
        <is>
          <t>Jugador 9</t>
        </is>
      </c>
      <c r="B591" s="8" t="inlineStr">
        <is>
          <t>M14</t>
        </is>
      </c>
      <c r="C591" s="12" t="inlineStr">
        <is>
          <t>Chile</t>
        </is>
      </c>
      <c r="D591" s="12" t="inlineStr">
        <is>
          <t>Paraguay</t>
        </is>
      </c>
      <c r="E591" s="8" t="n"/>
      <c r="F591" s="8" t="n"/>
      <c r="G591" s="8">
        <f>IF(OR(ISBLANK(E591),ISBLANK(F591)),"",IF(E591&gt;F591,"Local",IF(E591=F591,"Empate","Visitante")))</f>
        <v/>
      </c>
      <c r="H591" s="8">
        <f>IF(VLOOKUP(B591,PARTIDOS!$A:$I,9,FALSE)="Cerrado",IF(G591=VLOOKUP(B591,PARTIDOS!$A:$I,8,FALSE),IF(AND(E591=VLOOKUP(B591,PARTIDOS!$A:$I,6,FALSE),F591=VLOOKUP(B591,PARTIDOS!$A:$I,7,FALSE)),3,1),0),"")</f>
        <v/>
      </c>
    </row>
    <row r="592" ht="20.1" customHeight="1">
      <c r="A592" s="12" t="inlineStr">
        <is>
          <t>Jugador 9</t>
        </is>
      </c>
      <c r="B592" s="8" t="inlineStr">
        <is>
          <t>M15</t>
        </is>
      </c>
      <c r="C592" s="12" t="inlineStr">
        <is>
          <t>Ecuador</t>
        </is>
      </c>
      <c r="D592" s="12" t="inlineStr">
        <is>
          <t>Chile</t>
        </is>
      </c>
      <c r="E592" s="8" t="n"/>
      <c r="F592" s="8" t="n"/>
      <c r="G592" s="8">
        <f>IF(OR(ISBLANK(E592),ISBLANK(F592)),"",IF(E592&gt;F592,"Local",IF(E592=F592,"Empate","Visitante")))</f>
        <v/>
      </c>
      <c r="H592" s="8">
        <f>IF(VLOOKUP(B592,PARTIDOS!$A:$I,9,FALSE)="Cerrado",IF(G592=VLOOKUP(B592,PARTIDOS!$A:$I,8,FALSE),IF(AND(E592=VLOOKUP(B592,PARTIDOS!$A:$I,6,FALSE),F592=VLOOKUP(B592,PARTIDOS!$A:$I,7,FALSE)),3,1),0),"")</f>
        <v/>
      </c>
    </row>
    <row r="593" ht="20.1" customHeight="1">
      <c r="A593" s="12" t="inlineStr">
        <is>
          <t>Jugador 9</t>
        </is>
      </c>
      <c r="B593" s="8" t="inlineStr">
        <is>
          <t>M16</t>
        </is>
      </c>
      <c r="C593" s="12" t="inlineStr">
        <is>
          <t>Perú</t>
        </is>
      </c>
      <c r="D593" s="12" t="inlineStr">
        <is>
          <t>Paraguay</t>
        </is>
      </c>
      <c r="E593" s="8" t="n"/>
      <c r="F593" s="8" t="n"/>
      <c r="G593" s="8">
        <f>IF(OR(ISBLANK(E593),ISBLANK(F593)),"",IF(E593&gt;F593,"Local",IF(E593=F593,"Empate","Visitante")))</f>
        <v/>
      </c>
      <c r="H593" s="8">
        <f>IF(VLOOKUP(B593,PARTIDOS!$A:$I,9,FALSE)="Cerrado",IF(G593=VLOOKUP(B593,PARTIDOS!$A:$I,8,FALSE),IF(AND(E593=VLOOKUP(B593,PARTIDOS!$A:$I,6,FALSE),F593=VLOOKUP(B593,PARTIDOS!$A:$I,7,FALSE)),3,1),0),"")</f>
        <v/>
      </c>
    </row>
    <row r="594" ht="20.1" customHeight="1">
      <c r="A594" s="12" t="inlineStr">
        <is>
          <t>Jugador 9</t>
        </is>
      </c>
      <c r="B594" s="8" t="inlineStr">
        <is>
          <t>M17</t>
        </is>
      </c>
      <c r="C594" s="12" t="inlineStr">
        <is>
          <t>Ecuador</t>
        </is>
      </c>
      <c r="D594" s="12" t="inlineStr">
        <is>
          <t>Paraguay</t>
        </is>
      </c>
      <c r="E594" s="8" t="n"/>
      <c r="F594" s="8" t="n"/>
      <c r="G594" s="8">
        <f>IF(OR(ISBLANK(E594),ISBLANK(F594)),"",IF(E594&gt;F594,"Local",IF(E594=F594,"Empate","Visitante")))</f>
        <v/>
      </c>
      <c r="H594" s="8">
        <f>IF(VLOOKUP(B594,PARTIDOS!$A:$I,9,FALSE)="Cerrado",IF(G594=VLOOKUP(B594,PARTIDOS!$A:$I,8,FALSE),IF(AND(E594=VLOOKUP(B594,PARTIDOS!$A:$I,6,FALSE),F594=VLOOKUP(B594,PARTIDOS!$A:$I,7,FALSE)),3,1),0),"")</f>
        <v/>
      </c>
    </row>
    <row r="595" ht="20.1" customHeight="1">
      <c r="A595" s="12" t="inlineStr">
        <is>
          <t>Jugador 9</t>
        </is>
      </c>
      <c r="B595" s="8" t="inlineStr">
        <is>
          <t>M18</t>
        </is>
      </c>
      <c r="C595" s="12" t="inlineStr">
        <is>
          <t>Perú</t>
        </is>
      </c>
      <c r="D595" s="12" t="inlineStr">
        <is>
          <t>Chile</t>
        </is>
      </c>
      <c r="E595" s="8" t="n"/>
      <c r="F595" s="8" t="n"/>
      <c r="G595" s="8">
        <f>IF(OR(ISBLANK(E595),ISBLANK(F595)),"",IF(E595&gt;F595,"Local",IF(E595=F595,"Empate","Visitante")))</f>
        <v/>
      </c>
      <c r="H595" s="8">
        <f>IF(VLOOKUP(B595,PARTIDOS!$A:$I,9,FALSE)="Cerrado",IF(G595=VLOOKUP(B595,PARTIDOS!$A:$I,8,FALSE),IF(AND(E595=VLOOKUP(B595,PARTIDOS!$A:$I,6,FALSE),F595=VLOOKUP(B595,PARTIDOS!$A:$I,7,FALSE)),3,1),0),"")</f>
        <v/>
      </c>
    </row>
    <row r="596" ht="20.1" customHeight="1">
      <c r="A596" s="12" t="inlineStr">
        <is>
          <t>Jugador 9</t>
        </is>
      </c>
      <c r="B596" s="8" t="inlineStr">
        <is>
          <t>M19</t>
        </is>
      </c>
      <c r="C596" s="12" t="inlineStr">
        <is>
          <t>España</t>
        </is>
      </c>
      <c r="D596" s="12" t="inlineStr">
        <is>
          <t>Francia</t>
        </is>
      </c>
      <c r="E596" s="8" t="n"/>
      <c r="F596" s="8" t="n"/>
      <c r="G596" s="8">
        <f>IF(OR(ISBLANK(E596),ISBLANK(F596)),"",IF(E596&gt;F596,"Local",IF(E596=F596,"Empate","Visitante")))</f>
        <v/>
      </c>
      <c r="H596" s="8">
        <f>IF(VLOOKUP(B596,PARTIDOS!$A:$I,9,FALSE)="Cerrado",IF(G596=VLOOKUP(B596,PARTIDOS!$A:$I,8,FALSE),IF(AND(E596=VLOOKUP(B596,PARTIDOS!$A:$I,6,FALSE),F596=VLOOKUP(B596,PARTIDOS!$A:$I,7,FALSE)),3,1),0),"")</f>
        <v/>
      </c>
    </row>
    <row r="597" ht="20.1" customHeight="1">
      <c r="A597" s="12" t="inlineStr">
        <is>
          <t>Jugador 9</t>
        </is>
      </c>
      <c r="B597" s="8" t="inlineStr">
        <is>
          <t>M20</t>
        </is>
      </c>
      <c r="C597" s="12" t="inlineStr">
        <is>
          <t>Inglaterra</t>
        </is>
      </c>
      <c r="D597" s="12" t="inlineStr">
        <is>
          <t>Alemania</t>
        </is>
      </c>
      <c r="E597" s="8" t="n"/>
      <c r="F597" s="8" t="n"/>
      <c r="G597" s="8">
        <f>IF(OR(ISBLANK(E597),ISBLANK(F597)),"",IF(E597&gt;F597,"Local",IF(E597=F597,"Empate","Visitante")))</f>
        <v/>
      </c>
      <c r="H597" s="8">
        <f>IF(VLOOKUP(B597,PARTIDOS!$A:$I,9,FALSE)="Cerrado",IF(G597=VLOOKUP(B597,PARTIDOS!$A:$I,8,FALSE),IF(AND(E597=VLOOKUP(B597,PARTIDOS!$A:$I,6,FALSE),F597=VLOOKUP(B597,PARTIDOS!$A:$I,7,FALSE)),3,1),0),"")</f>
        <v/>
      </c>
    </row>
    <row r="598" ht="20.1" customHeight="1">
      <c r="A598" s="12" t="inlineStr">
        <is>
          <t>Jugador 9</t>
        </is>
      </c>
      <c r="B598" s="8" t="inlineStr">
        <is>
          <t>M21</t>
        </is>
      </c>
      <c r="C598" s="12" t="inlineStr">
        <is>
          <t>España</t>
        </is>
      </c>
      <c r="D598" s="12" t="inlineStr">
        <is>
          <t>Inglaterra</t>
        </is>
      </c>
      <c r="E598" s="8" t="n"/>
      <c r="F598" s="8" t="n"/>
      <c r="G598" s="8">
        <f>IF(OR(ISBLANK(E598),ISBLANK(F598)),"",IF(E598&gt;F598,"Local",IF(E598=F598,"Empate","Visitante")))</f>
        <v/>
      </c>
      <c r="H598" s="8">
        <f>IF(VLOOKUP(B598,PARTIDOS!$A:$I,9,FALSE)="Cerrado",IF(G598=VLOOKUP(B598,PARTIDOS!$A:$I,8,FALSE),IF(AND(E598=VLOOKUP(B598,PARTIDOS!$A:$I,6,FALSE),F598=VLOOKUP(B598,PARTIDOS!$A:$I,7,FALSE)),3,1),0),"")</f>
        <v/>
      </c>
    </row>
    <row r="599" ht="20.1" customHeight="1">
      <c r="A599" s="12" t="inlineStr">
        <is>
          <t>Jugador 9</t>
        </is>
      </c>
      <c r="B599" s="8" t="inlineStr">
        <is>
          <t>M22</t>
        </is>
      </c>
      <c r="C599" s="12" t="inlineStr">
        <is>
          <t>Francia</t>
        </is>
      </c>
      <c r="D599" s="12" t="inlineStr">
        <is>
          <t>Alemania</t>
        </is>
      </c>
      <c r="E599" s="8" t="n"/>
      <c r="F599" s="8" t="n"/>
      <c r="G599" s="8">
        <f>IF(OR(ISBLANK(E599),ISBLANK(F599)),"",IF(E599&gt;F599,"Local",IF(E599=F599,"Empate","Visitante")))</f>
        <v/>
      </c>
      <c r="H599" s="8">
        <f>IF(VLOOKUP(B599,PARTIDOS!$A:$I,9,FALSE)="Cerrado",IF(G599=VLOOKUP(B599,PARTIDOS!$A:$I,8,FALSE),IF(AND(E599=VLOOKUP(B599,PARTIDOS!$A:$I,6,FALSE),F599=VLOOKUP(B599,PARTIDOS!$A:$I,7,FALSE)),3,1),0),"")</f>
        <v/>
      </c>
    </row>
    <row r="600" ht="20.1" customHeight="1">
      <c r="A600" s="12" t="inlineStr">
        <is>
          <t>Jugador 9</t>
        </is>
      </c>
      <c r="B600" s="8" t="inlineStr">
        <is>
          <t>M23</t>
        </is>
      </c>
      <c r="C600" s="12" t="inlineStr">
        <is>
          <t>España</t>
        </is>
      </c>
      <c r="D600" s="12" t="inlineStr">
        <is>
          <t>Alemania</t>
        </is>
      </c>
      <c r="E600" s="8" t="n"/>
      <c r="F600" s="8" t="n"/>
      <c r="G600" s="8">
        <f>IF(OR(ISBLANK(E600),ISBLANK(F600)),"",IF(E600&gt;F600,"Local",IF(E600=F600,"Empate","Visitante")))</f>
        <v/>
      </c>
      <c r="H600" s="8">
        <f>IF(VLOOKUP(B600,PARTIDOS!$A:$I,9,FALSE)="Cerrado",IF(G600=VLOOKUP(B600,PARTIDOS!$A:$I,8,FALSE),IF(AND(E600=VLOOKUP(B600,PARTIDOS!$A:$I,6,FALSE),F600=VLOOKUP(B600,PARTIDOS!$A:$I,7,FALSE)),3,1),0),"")</f>
        <v/>
      </c>
    </row>
    <row r="601" ht="20.1" customHeight="1">
      <c r="A601" s="12" t="inlineStr">
        <is>
          <t>Jugador 9</t>
        </is>
      </c>
      <c r="B601" s="8" t="inlineStr">
        <is>
          <t>M24</t>
        </is>
      </c>
      <c r="C601" s="12" t="inlineStr">
        <is>
          <t>Francia</t>
        </is>
      </c>
      <c r="D601" s="12" t="inlineStr">
        <is>
          <t>Inglaterra</t>
        </is>
      </c>
      <c r="E601" s="8" t="n"/>
      <c r="F601" s="8" t="n"/>
      <c r="G601" s="8">
        <f>IF(OR(ISBLANK(E601),ISBLANK(F601)),"",IF(E601&gt;F601,"Local",IF(E601=F601,"Empate","Visitante")))</f>
        <v/>
      </c>
      <c r="H601" s="8">
        <f>IF(VLOOKUP(B601,PARTIDOS!$A:$I,9,FALSE)="Cerrado",IF(G601=VLOOKUP(B601,PARTIDOS!$A:$I,8,FALSE),IF(AND(E601=VLOOKUP(B601,PARTIDOS!$A:$I,6,FALSE),F601=VLOOKUP(B601,PARTIDOS!$A:$I,7,FALSE)),3,1),0),"")</f>
        <v/>
      </c>
    </row>
    <row r="602" ht="20.1" customHeight="1">
      <c r="A602" s="12" t="inlineStr">
        <is>
          <t>Jugador 9</t>
        </is>
      </c>
      <c r="B602" s="8" t="inlineStr">
        <is>
          <t>M25</t>
        </is>
      </c>
      <c r="C602" s="12" t="inlineStr">
        <is>
          <t>Portugal</t>
        </is>
      </c>
      <c r="D602" s="12" t="inlineStr">
        <is>
          <t>Bélgica</t>
        </is>
      </c>
      <c r="E602" s="8" t="n"/>
      <c r="F602" s="8" t="n"/>
      <c r="G602" s="8">
        <f>IF(OR(ISBLANK(E602),ISBLANK(F602)),"",IF(E602&gt;F602,"Local",IF(E602=F602,"Empate","Visitante")))</f>
        <v/>
      </c>
      <c r="H602" s="8">
        <f>IF(VLOOKUP(B602,PARTIDOS!$A:$I,9,FALSE)="Cerrado",IF(G602=VLOOKUP(B602,PARTIDOS!$A:$I,8,FALSE),IF(AND(E602=VLOOKUP(B602,PARTIDOS!$A:$I,6,FALSE),F602=VLOOKUP(B602,PARTIDOS!$A:$I,7,FALSE)),3,1),0),"")</f>
        <v/>
      </c>
    </row>
    <row r="603" ht="20.1" customHeight="1">
      <c r="A603" s="12" t="inlineStr">
        <is>
          <t>Jugador 9</t>
        </is>
      </c>
      <c r="B603" s="8" t="inlineStr">
        <is>
          <t>M26</t>
        </is>
      </c>
      <c r="C603" s="12" t="inlineStr">
        <is>
          <t>Países Bajos</t>
        </is>
      </c>
      <c r="D603" s="12" t="inlineStr">
        <is>
          <t>Italia</t>
        </is>
      </c>
      <c r="E603" s="8" t="n"/>
      <c r="F603" s="8" t="n"/>
      <c r="G603" s="8">
        <f>IF(OR(ISBLANK(E603),ISBLANK(F603)),"",IF(E603&gt;F603,"Local",IF(E603=F603,"Empate","Visitante")))</f>
        <v/>
      </c>
      <c r="H603" s="8">
        <f>IF(VLOOKUP(B603,PARTIDOS!$A:$I,9,FALSE)="Cerrado",IF(G603=VLOOKUP(B603,PARTIDOS!$A:$I,8,FALSE),IF(AND(E603=VLOOKUP(B603,PARTIDOS!$A:$I,6,FALSE),F603=VLOOKUP(B603,PARTIDOS!$A:$I,7,FALSE)),3,1),0),"")</f>
        <v/>
      </c>
    </row>
    <row r="604" ht="20.1" customHeight="1">
      <c r="A604" s="12" t="inlineStr">
        <is>
          <t>Jugador 9</t>
        </is>
      </c>
      <c r="B604" s="8" t="inlineStr">
        <is>
          <t>M27</t>
        </is>
      </c>
      <c r="C604" s="12" t="inlineStr">
        <is>
          <t>Portugal</t>
        </is>
      </c>
      <c r="D604" s="12" t="inlineStr">
        <is>
          <t>Países Bajos</t>
        </is>
      </c>
      <c r="E604" s="8" t="n"/>
      <c r="F604" s="8" t="n"/>
      <c r="G604" s="8">
        <f>IF(OR(ISBLANK(E604),ISBLANK(F604)),"",IF(E604&gt;F604,"Local",IF(E604=F604,"Empate","Visitante")))</f>
        <v/>
      </c>
      <c r="H604" s="8">
        <f>IF(VLOOKUP(B604,PARTIDOS!$A:$I,9,FALSE)="Cerrado",IF(G604=VLOOKUP(B604,PARTIDOS!$A:$I,8,FALSE),IF(AND(E604=VLOOKUP(B604,PARTIDOS!$A:$I,6,FALSE),F604=VLOOKUP(B604,PARTIDOS!$A:$I,7,FALSE)),3,1),0),"")</f>
        <v/>
      </c>
    </row>
    <row r="605" ht="20.1" customHeight="1">
      <c r="A605" s="12" t="inlineStr">
        <is>
          <t>Jugador 9</t>
        </is>
      </c>
      <c r="B605" s="8" t="inlineStr">
        <is>
          <t>M28</t>
        </is>
      </c>
      <c r="C605" s="12" t="inlineStr">
        <is>
          <t>Bélgica</t>
        </is>
      </c>
      <c r="D605" s="12" t="inlineStr">
        <is>
          <t>Italia</t>
        </is>
      </c>
      <c r="E605" s="8" t="n"/>
      <c r="F605" s="8" t="n"/>
      <c r="G605" s="8">
        <f>IF(OR(ISBLANK(E605),ISBLANK(F605)),"",IF(E605&gt;F605,"Local",IF(E605=F605,"Empate","Visitante")))</f>
        <v/>
      </c>
      <c r="H605" s="8">
        <f>IF(VLOOKUP(B605,PARTIDOS!$A:$I,9,FALSE)="Cerrado",IF(G605=VLOOKUP(B605,PARTIDOS!$A:$I,8,FALSE),IF(AND(E605=VLOOKUP(B605,PARTIDOS!$A:$I,6,FALSE),F605=VLOOKUP(B605,PARTIDOS!$A:$I,7,FALSE)),3,1),0),"")</f>
        <v/>
      </c>
    </row>
    <row r="606" ht="20.1" customHeight="1">
      <c r="A606" s="12" t="inlineStr">
        <is>
          <t>Jugador 9</t>
        </is>
      </c>
      <c r="B606" s="8" t="inlineStr">
        <is>
          <t>M29</t>
        </is>
      </c>
      <c r="C606" s="12" t="inlineStr">
        <is>
          <t>Portugal</t>
        </is>
      </c>
      <c r="D606" s="12" t="inlineStr">
        <is>
          <t>Italia</t>
        </is>
      </c>
      <c r="E606" s="8" t="n"/>
      <c r="F606" s="8" t="n"/>
      <c r="G606" s="8">
        <f>IF(OR(ISBLANK(E606),ISBLANK(F606)),"",IF(E606&gt;F606,"Local",IF(E606=F606,"Empate","Visitante")))</f>
        <v/>
      </c>
      <c r="H606" s="8">
        <f>IF(VLOOKUP(B606,PARTIDOS!$A:$I,9,FALSE)="Cerrado",IF(G606=VLOOKUP(B606,PARTIDOS!$A:$I,8,FALSE),IF(AND(E606=VLOOKUP(B606,PARTIDOS!$A:$I,6,FALSE),F606=VLOOKUP(B606,PARTIDOS!$A:$I,7,FALSE)),3,1),0),"")</f>
        <v/>
      </c>
    </row>
    <row r="607" ht="20.1" customHeight="1">
      <c r="A607" s="12" t="inlineStr">
        <is>
          <t>Jugador 9</t>
        </is>
      </c>
      <c r="B607" s="8" t="inlineStr">
        <is>
          <t>M30</t>
        </is>
      </c>
      <c r="C607" s="12" t="inlineStr">
        <is>
          <t>Bélgica</t>
        </is>
      </c>
      <c r="D607" s="12" t="inlineStr">
        <is>
          <t>Países Bajos</t>
        </is>
      </c>
      <c r="E607" s="8" t="n"/>
      <c r="F607" s="8" t="n"/>
      <c r="G607" s="8">
        <f>IF(OR(ISBLANK(E607),ISBLANK(F607)),"",IF(E607&gt;F607,"Local",IF(E607=F607,"Empate","Visitante")))</f>
        <v/>
      </c>
      <c r="H607" s="8">
        <f>IF(VLOOKUP(B607,PARTIDOS!$A:$I,9,FALSE)="Cerrado",IF(G607=VLOOKUP(B607,PARTIDOS!$A:$I,8,FALSE),IF(AND(E607=VLOOKUP(B607,PARTIDOS!$A:$I,6,FALSE),F607=VLOOKUP(B607,PARTIDOS!$A:$I,7,FALSE)),3,1),0),"")</f>
        <v/>
      </c>
    </row>
    <row r="608" ht="20.1" customHeight="1">
      <c r="A608" s="12" t="inlineStr">
        <is>
          <t>Jugador 9</t>
        </is>
      </c>
      <c r="B608" s="8" t="inlineStr">
        <is>
          <t>M31</t>
        </is>
      </c>
      <c r="C608" s="12" t="inlineStr">
        <is>
          <t>Croacia</t>
        </is>
      </c>
      <c r="D608" s="12" t="inlineStr">
        <is>
          <t>Suiza</t>
        </is>
      </c>
      <c r="E608" s="8" t="n"/>
      <c r="F608" s="8" t="n"/>
      <c r="G608" s="8">
        <f>IF(OR(ISBLANK(E608),ISBLANK(F608)),"",IF(E608&gt;F608,"Local",IF(E608=F608,"Empate","Visitante")))</f>
        <v/>
      </c>
      <c r="H608" s="8">
        <f>IF(VLOOKUP(B608,PARTIDOS!$A:$I,9,FALSE)="Cerrado",IF(G608=VLOOKUP(B608,PARTIDOS!$A:$I,8,FALSE),IF(AND(E608=VLOOKUP(B608,PARTIDOS!$A:$I,6,FALSE),F608=VLOOKUP(B608,PARTIDOS!$A:$I,7,FALSE)),3,1),0),"")</f>
        <v/>
      </c>
    </row>
    <row r="609" ht="20.1" customHeight="1">
      <c r="A609" s="12" t="inlineStr">
        <is>
          <t>Jugador 9</t>
        </is>
      </c>
      <c r="B609" s="8" t="inlineStr">
        <is>
          <t>M32</t>
        </is>
      </c>
      <c r="C609" s="12" t="inlineStr">
        <is>
          <t>Dinamarca</t>
        </is>
      </c>
      <c r="D609" s="12" t="inlineStr">
        <is>
          <t>Serbia</t>
        </is>
      </c>
      <c r="E609" s="8" t="n"/>
      <c r="F609" s="8" t="n"/>
      <c r="G609" s="8">
        <f>IF(OR(ISBLANK(E609),ISBLANK(F609)),"",IF(E609&gt;F609,"Local",IF(E609=F609,"Empate","Visitante")))</f>
        <v/>
      </c>
      <c r="H609" s="8">
        <f>IF(VLOOKUP(B609,PARTIDOS!$A:$I,9,FALSE)="Cerrado",IF(G609=VLOOKUP(B609,PARTIDOS!$A:$I,8,FALSE),IF(AND(E609=VLOOKUP(B609,PARTIDOS!$A:$I,6,FALSE),F609=VLOOKUP(B609,PARTIDOS!$A:$I,7,FALSE)),3,1),0),"")</f>
        <v/>
      </c>
    </row>
    <row r="610" ht="20.1" customHeight="1">
      <c r="A610" s="12" t="inlineStr">
        <is>
          <t>Jugador 9</t>
        </is>
      </c>
      <c r="B610" s="8" t="inlineStr">
        <is>
          <t>M33</t>
        </is>
      </c>
      <c r="C610" s="12" t="inlineStr">
        <is>
          <t>Croacia</t>
        </is>
      </c>
      <c r="D610" s="12" t="inlineStr">
        <is>
          <t>Dinamarca</t>
        </is>
      </c>
      <c r="E610" s="8" t="n"/>
      <c r="F610" s="8" t="n"/>
      <c r="G610" s="8">
        <f>IF(OR(ISBLANK(E610),ISBLANK(F610)),"",IF(E610&gt;F610,"Local",IF(E610=F610,"Empate","Visitante")))</f>
        <v/>
      </c>
      <c r="H610" s="8">
        <f>IF(VLOOKUP(B610,PARTIDOS!$A:$I,9,FALSE)="Cerrado",IF(G610=VLOOKUP(B610,PARTIDOS!$A:$I,8,FALSE),IF(AND(E610=VLOOKUP(B610,PARTIDOS!$A:$I,6,FALSE),F610=VLOOKUP(B610,PARTIDOS!$A:$I,7,FALSE)),3,1),0),"")</f>
        <v/>
      </c>
    </row>
    <row r="611" ht="20.1" customHeight="1">
      <c r="A611" s="12" t="inlineStr">
        <is>
          <t>Jugador 9</t>
        </is>
      </c>
      <c r="B611" s="8" t="inlineStr">
        <is>
          <t>M34</t>
        </is>
      </c>
      <c r="C611" s="12" t="inlineStr">
        <is>
          <t>Suiza</t>
        </is>
      </c>
      <c r="D611" s="12" t="inlineStr">
        <is>
          <t>Serbia</t>
        </is>
      </c>
      <c r="E611" s="8" t="n"/>
      <c r="F611" s="8" t="n"/>
      <c r="G611" s="8">
        <f>IF(OR(ISBLANK(E611),ISBLANK(F611)),"",IF(E611&gt;F611,"Local",IF(E611=F611,"Empate","Visitante")))</f>
        <v/>
      </c>
      <c r="H611" s="8">
        <f>IF(VLOOKUP(B611,PARTIDOS!$A:$I,9,FALSE)="Cerrado",IF(G611=VLOOKUP(B611,PARTIDOS!$A:$I,8,FALSE),IF(AND(E611=VLOOKUP(B611,PARTIDOS!$A:$I,6,FALSE),F611=VLOOKUP(B611,PARTIDOS!$A:$I,7,FALSE)),3,1),0),"")</f>
        <v/>
      </c>
    </row>
    <row r="612" ht="20.1" customHeight="1">
      <c r="A612" s="12" t="inlineStr">
        <is>
          <t>Jugador 9</t>
        </is>
      </c>
      <c r="B612" s="8" t="inlineStr">
        <is>
          <t>M35</t>
        </is>
      </c>
      <c r="C612" s="12" t="inlineStr">
        <is>
          <t>Croacia</t>
        </is>
      </c>
      <c r="D612" s="12" t="inlineStr">
        <is>
          <t>Serbia</t>
        </is>
      </c>
      <c r="E612" s="8" t="n"/>
      <c r="F612" s="8" t="n"/>
      <c r="G612" s="8">
        <f>IF(OR(ISBLANK(E612),ISBLANK(F612)),"",IF(E612&gt;F612,"Local",IF(E612=F612,"Empate","Visitante")))</f>
        <v/>
      </c>
      <c r="H612" s="8">
        <f>IF(VLOOKUP(B612,PARTIDOS!$A:$I,9,FALSE)="Cerrado",IF(G612=VLOOKUP(B612,PARTIDOS!$A:$I,8,FALSE),IF(AND(E612=VLOOKUP(B612,PARTIDOS!$A:$I,6,FALSE),F612=VLOOKUP(B612,PARTIDOS!$A:$I,7,FALSE)),3,1),0),"")</f>
        <v/>
      </c>
    </row>
    <row r="613" ht="20.1" customHeight="1">
      <c r="A613" s="12" t="inlineStr">
        <is>
          <t>Jugador 9</t>
        </is>
      </c>
      <c r="B613" s="8" t="inlineStr">
        <is>
          <t>M36</t>
        </is>
      </c>
      <c r="C613" s="12" t="inlineStr">
        <is>
          <t>Suiza</t>
        </is>
      </c>
      <c r="D613" s="12" t="inlineStr">
        <is>
          <t>Dinamarca</t>
        </is>
      </c>
      <c r="E613" s="8" t="n"/>
      <c r="F613" s="8" t="n"/>
      <c r="G613" s="8">
        <f>IF(OR(ISBLANK(E613),ISBLANK(F613)),"",IF(E613&gt;F613,"Local",IF(E613=F613,"Empate","Visitante")))</f>
        <v/>
      </c>
      <c r="H613" s="8">
        <f>IF(VLOOKUP(B613,PARTIDOS!$A:$I,9,FALSE)="Cerrado",IF(G613=VLOOKUP(B613,PARTIDOS!$A:$I,8,FALSE),IF(AND(E613=VLOOKUP(B613,PARTIDOS!$A:$I,6,FALSE),F613=VLOOKUP(B613,PARTIDOS!$A:$I,7,FALSE)),3,1),0),"")</f>
        <v/>
      </c>
    </row>
    <row r="614" ht="20.1" customHeight="1">
      <c r="A614" s="12" t="inlineStr">
        <is>
          <t>Jugador 9</t>
        </is>
      </c>
      <c r="B614" s="8" t="inlineStr">
        <is>
          <t>M37</t>
        </is>
      </c>
      <c r="C614" s="12" t="inlineStr">
        <is>
          <t>Polonia</t>
        </is>
      </c>
      <c r="D614" s="12" t="inlineStr">
        <is>
          <t>Ucrania</t>
        </is>
      </c>
      <c r="E614" s="8" t="n"/>
      <c r="F614" s="8" t="n"/>
      <c r="G614" s="8">
        <f>IF(OR(ISBLANK(E614),ISBLANK(F614)),"",IF(E614&gt;F614,"Local",IF(E614=F614,"Empate","Visitante")))</f>
        <v/>
      </c>
      <c r="H614" s="8">
        <f>IF(VLOOKUP(B614,PARTIDOS!$A:$I,9,FALSE)="Cerrado",IF(G614=VLOOKUP(B614,PARTIDOS!$A:$I,8,FALSE),IF(AND(E614=VLOOKUP(B614,PARTIDOS!$A:$I,6,FALSE),F614=VLOOKUP(B614,PARTIDOS!$A:$I,7,FALSE)),3,1),0),"")</f>
        <v/>
      </c>
    </row>
    <row r="615" ht="20.1" customHeight="1">
      <c r="A615" s="12" t="inlineStr">
        <is>
          <t>Jugador 9</t>
        </is>
      </c>
      <c r="B615" s="8" t="inlineStr">
        <is>
          <t>M38</t>
        </is>
      </c>
      <c r="C615" s="12" t="inlineStr">
        <is>
          <t>Suecia</t>
        </is>
      </c>
      <c r="D615" s="12" t="inlineStr">
        <is>
          <t>Gales</t>
        </is>
      </c>
      <c r="E615" s="8" t="n"/>
      <c r="F615" s="8" t="n"/>
      <c r="G615" s="8">
        <f>IF(OR(ISBLANK(E615),ISBLANK(F615)),"",IF(E615&gt;F615,"Local",IF(E615=F615,"Empate","Visitante")))</f>
        <v/>
      </c>
      <c r="H615" s="8">
        <f>IF(VLOOKUP(B615,PARTIDOS!$A:$I,9,FALSE)="Cerrado",IF(G615=VLOOKUP(B615,PARTIDOS!$A:$I,8,FALSE),IF(AND(E615=VLOOKUP(B615,PARTIDOS!$A:$I,6,FALSE),F615=VLOOKUP(B615,PARTIDOS!$A:$I,7,FALSE)),3,1),0),"")</f>
        <v/>
      </c>
    </row>
    <row r="616" ht="20.1" customHeight="1">
      <c r="A616" s="12" t="inlineStr">
        <is>
          <t>Jugador 9</t>
        </is>
      </c>
      <c r="B616" s="8" t="inlineStr">
        <is>
          <t>M39</t>
        </is>
      </c>
      <c r="C616" s="12" t="inlineStr">
        <is>
          <t>Polonia</t>
        </is>
      </c>
      <c r="D616" s="12" t="inlineStr">
        <is>
          <t>Suecia</t>
        </is>
      </c>
      <c r="E616" s="8" t="n"/>
      <c r="F616" s="8" t="n"/>
      <c r="G616" s="8">
        <f>IF(OR(ISBLANK(E616),ISBLANK(F616)),"",IF(E616&gt;F616,"Local",IF(E616=F616,"Empate","Visitante")))</f>
        <v/>
      </c>
      <c r="H616" s="8">
        <f>IF(VLOOKUP(B616,PARTIDOS!$A:$I,9,FALSE)="Cerrado",IF(G616=VLOOKUP(B616,PARTIDOS!$A:$I,8,FALSE),IF(AND(E616=VLOOKUP(B616,PARTIDOS!$A:$I,6,FALSE),F616=VLOOKUP(B616,PARTIDOS!$A:$I,7,FALSE)),3,1),0),"")</f>
        <v/>
      </c>
    </row>
    <row r="617" ht="20.1" customHeight="1">
      <c r="A617" s="12" t="inlineStr">
        <is>
          <t>Jugador 9</t>
        </is>
      </c>
      <c r="B617" s="8" t="inlineStr">
        <is>
          <t>M40</t>
        </is>
      </c>
      <c r="C617" s="12" t="inlineStr">
        <is>
          <t>Ucrania</t>
        </is>
      </c>
      <c r="D617" s="12" t="inlineStr">
        <is>
          <t>Gales</t>
        </is>
      </c>
      <c r="E617" s="8" t="n"/>
      <c r="F617" s="8" t="n"/>
      <c r="G617" s="8">
        <f>IF(OR(ISBLANK(E617),ISBLANK(F617)),"",IF(E617&gt;F617,"Local",IF(E617=F617,"Empate","Visitante")))</f>
        <v/>
      </c>
      <c r="H617" s="8">
        <f>IF(VLOOKUP(B617,PARTIDOS!$A:$I,9,FALSE)="Cerrado",IF(G617=VLOOKUP(B617,PARTIDOS!$A:$I,8,FALSE),IF(AND(E617=VLOOKUP(B617,PARTIDOS!$A:$I,6,FALSE),F617=VLOOKUP(B617,PARTIDOS!$A:$I,7,FALSE)),3,1),0),"")</f>
        <v/>
      </c>
    </row>
    <row r="618" ht="20.1" customHeight="1">
      <c r="A618" s="12" t="inlineStr">
        <is>
          <t>Jugador 9</t>
        </is>
      </c>
      <c r="B618" s="8" t="inlineStr">
        <is>
          <t>M41</t>
        </is>
      </c>
      <c r="C618" s="12" t="inlineStr">
        <is>
          <t>Polonia</t>
        </is>
      </c>
      <c r="D618" s="12" t="inlineStr">
        <is>
          <t>Gales</t>
        </is>
      </c>
      <c r="E618" s="8" t="n"/>
      <c r="F618" s="8" t="n"/>
      <c r="G618" s="8">
        <f>IF(OR(ISBLANK(E618),ISBLANK(F618)),"",IF(E618&gt;F618,"Local",IF(E618=F618,"Empate","Visitante")))</f>
        <v/>
      </c>
      <c r="H618" s="8">
        <f>IF(VLOOKUP(B618,PARTIDOS!$A:$I,9,FALSE)="Cerrado",IF(G618=VLOOKUP(B618,PARTIDOS!$A:$I,8,FALSE),IF(AND(E618=VLOOKUP(B618,PARTIDOS!$A:$I,6,FALSE),F618=VLOOKUP(B618,PARTIDOS!$A:$I,7,FALSE)),3,1),0),"")</f>
        <v/>
      </c>
    </row>
    <row r="619" ht="20.1" customHeight="1">
      <c r="A619" s="12" t="inlineStr">
        <is>
          <t>Jugador 9</t>
        </is>
      </c>
      <c r="B619" s="8" t="inlineStr">
        <is>
          <t>M42</t>
        </is>
      </c>
      <c r="C619" s="12" t="inlineStr">
        <is>
          <t>Ucrania</t>
        </is>
      </c>
      <c r="D619" s="12" t="inlineStr">
        <is>
          <t>Suecia</t>
        </is>
      </c>
      <c r="E619" s="8" t="n"/>
      <c r="F619" s="8" t="n"/>
      <c r="G619" s="8">
        <f>IF(OR(ISBLANK(E619),ISBLANK(F619)),"",IF(E619&gt;F619,"Local",IF(E619=F619,"Empate","Visitante")))</f>
        <v/>
      </c>
      <c r="H619" s="8">
        <f>IF(VLOOKUP(B619,PARTIDOS!$A:$I,9,FALSE)="Cerrado",IF(G619=VLOOKUP(B619,PARTIDOS!$A:$I,8,FALSE),IF(AND(E619=VLOOKUP(B619,PARTIDOS!$A:$I,6,FALSE),F619=VLOOKUP(B619,PARTIDOS!$A:$I,7,FALSE)),3,1),0),"")</f>
        <v/>
      </c>
    </row>
    <row r="620" ht="20.1" customHeight="1">
      <c r="A620" s="12" t="inlineStr">
        <is>
          <t>Jugador 9</t>
        </is>
      </c>
      <c r="B620" s="8" t="inlineStr">
        <is>
          <t>M43</t>
        </is>
      </c>
      <c r="C620" s="12" t="inlineStr">
        <is>
          <t>Austria</t>
        </is>
      </c>
      <c r="D620" s="12" t="inlineStr">
        <is>
          <t>Hungría</t>
        </is>
      </c>
      <c r="E620" s="8" t="n"/>
      <c r="F620" s="8" t="n"/>
      <c r="G620" s="8">
        <f>IF(OR(ISBLANK(E620),ISBLANK(F620)),"",IF(E620&gt;F620,"Local",IF(E620=F620,"Empate","Visitante")))</f>
        <v/>
      </c>
      <c r="H620" s="8">
        <f>IF(VLOOKUP(B620,PARTIDOS!$A:$I,9,FALSE)="Cerrado",IF(G620=VLOOKUP(B620,PARTIDOS!$A:$I,8,FALSE),IF(AND(E620=VLOOKUP(B620,PARTIDOS!$A:$I,6,FALSE),F620=VLOOKUP(B620,PARTIDOS!$A:$I,7,FALSE)),3,1),0),"")</f>
        <v/>
      </c>
    </row>
    <row r="621" ht="20.1" customHeight="1">
      <c r="A621" s="12" t="inlineStr">
        <is>
          <t>Jugador 9</t>
        </is>
      </c>
      <c r="B621" s="8" t="inlineStr">
        <is>
          <t>M44</t>
        </is>
      </c>
      <c r="C621" s="12" t="inlineStr">
        <is>
          <t>Turquía</t>
        </is>
      </c>
      <c r="D621" s="12" t="inlineStr">
        <is>
          <t>Escocia</t>
        </is>
      </c>
      <c r="E621" s="8" t="n"/>
      <c r="F621" s="8" t="n"/>
      <c r="G621" s="8">
        <f>IF(OR(ISBLANK(E621),ISBLANK(F621)),"",IF(E621&gt;F621,"Local",IF(E621=F621,"Empate","Visitante")))</f>
        <v/>
      </c>
      <c r="H621" s="8">
        <f>IF(VLOOKUP(B621,PARTIDOS!$A:$I,9,FALSE)="Cerrado",IF(G621=VLOOKUP(B621,PARTIDOS!$A:$I,8,FALSE),IF(AND(E621=VLOOKUP(B621,PARTIDOS!$A:$I,6,FALSE),F621=VLOOKUP(B621,PARTIDOS!$A:$I,7,FALSE)),3,1),0),"")</f>
        <v/>
      </c>
    </row>
    <row r="622" ht="20.1" customHeight="1">
      <c r="A622" s="12" t="inlineStr">
        <is>
          <t>Jugador 9</t>
        </is>
      </c>
      <c r="B622" s="8" t="inlineStr">
        <is>
          <t>M45</t>
        </is>
      </c>
      <c r="C622" s="12" t="inlineStr">
        <is>
          <t>Austria</t>
        </is>
      </c>
      <c r="D622" s="12" t="inlineStr">
        <is>
          <t>Turquía</t>
        </is>
      </c>
      <c r="E622" s="8" t="n"/>
      <c r="F622" s="8" t="n"/>
      <c r="G622" s="8">
        <f>IF(OR(ISBLANK(E622),ISBLANK(F622)),"",IF(E622&gt;F622,"Local",IF(E622=F622,"Empate","Visitante")))</f>
        <v/>
      </c>
      <c r="H622" s="8">
        <f>IF(VLOOKUP(B622,PARTIDOS!$A:$I,9,FALSE)="Cerrado",IF(G622=VLOOKUP(B622,PARTIDOS!$A:$I,8,FALSE),IF(AND(E622=VLOOKUP(B622,PARTIDOS!$A:$I,6,FALSE),F622=VLOOKUP(B622,PARTIDOS!$A:$I,7,FALSE)),3,1),0),"")</f>
        <v/>
      </c>
    </row>
    <row r="623" ht="20.1" customHeight="1">
      <c r="A623" s="12" t="inlineStr">
        <is>
          <t>Jugador 9</t>
        </is>
      </c>
      <c r="B623" s="8" t="inlineStr">
        <is>
          <t>M46</t>
        </is>
      </c>
      <c r="C623" s="12" t="inlineStr">
        <is>
          <t>Hungría</t>
        </is>
      </c>
      <c r="D623" s="12" t="inlineStr">
        <is>
          <t>Escocia</t>
        </is>
      </c>
      <c r="E623" s="8" t="n"/>
      <c r="F623" s="8" t="n"/>
      <c r="G623" s="8">
        <f>IF(OR(ISBLANK(E623),ISBLANK(F623)),"",IF(E623&gt;F623,"Local",IF(E623=F623,"Empate","Visitante")))</f>
        <v/>
      </c>
      <c r="H623" s="8">
        <f>IF(VLOOKUP(B623,PARTIDOS!$A:$I,9,FALSE)="Cerrado",IF(G623=VLOOKUP(B623,PARTIDOS!$A:$I,8,FALSE),IF(AND(E623=VLOOKUP(B623,PARTIDOS!$A:$I,6,FALSE),F623=VLOOKUP(B623,PARTIDOS!$A:$I,7,FALSE)),3,1),0),"")</f>
        <v/>
      </c>
    </row>
    <row r="624" ht="20.1" customHeight="1">
      <c r="A624" s="12" t="inlineStr">
        <is>
          <t>Jugador 9</t>
        </is>
      </c>
      <c r="B624" s="8" t="inlineStr">
        <is>
          <t>M47</t>
        </is>
      </c>
      <c r="C624" s="12" t="inlineStr">
        <is>
          <t>Austria</t>
        </is>
      </c>
      <c r="D624" s="12" t="inlineStr">
        <is>
          <t>Escocia</t>
        </is>
      </c>
      <c r="E624" s="8" t="n"/>
      <c r="F624" s="8" t="n"/>
      <c r="G624" s="8">
        <f>IF(OR(ISBLANK(E624),ISBLANK(F624)),"",IF(E624&gt;F624,"Local",IF(E624=F624,"Empate","Visitante")))</f>
        <v/>
      </c>
      <c r="H624" s="8">
        <f>IF(VLOOKUP(B624,PARTIDOS!$A:$I,9,FALSE)="Cerrado",IF(G624=VLOOKUP(B624,PARTIDOS!$A:$I,8,FALSE),IF(AND(E624=VLOOKUP(B624,PARTIDOS!$A:$I,6,FALSE),F624=VLOOKUP(B624,PARTIDOS!$A:$I,7,FALSE)),3,1),0),"")</f>
        <v/>
      </c>
    </row>
    <row r="625" ht="20.1" customHeight="1">
      <c r="A625" s="12" t="inlineStr">
        <is>
          <t>Jugador 9</t>
        </is>
      </c>
      <c r="B625" s="8" t="inlineStr">
        <is>
          <t>M48</t>
        </is>
      </c>
      <c r="C625" s="12" t="inlineStr">
        <is>
          <t>Hungría</t>
        </is>
      </c>
      <c r="D625" s="12" t="inlineStr">
        <is>
          <t>Turquía</t>
        </is>
      </c>
      <c r="E625" s="8" t="n"/>
      <c r="F625" s="8" t="n"/>
      <c r="G625" s="8">
        <f>IF(OR(ISBLANK(E625),ISBLANK(F625)),"",IF(E625&gt;F625,"Local",IF(E625=F625,"Empate","Visitante")))</f>
        <v/>
      </c>
      <c r="H625" s="8">
        <f>IF(VLOOKUP(B625,PARTIDOS!$A:$I,9,FALSE)="Cerrado",IF(G625=VLOOKUP(B625,PARTIDOS!$A:$I,8,FALSE),IF(AND(E625=VLOOKUP(B625,PARTIDOS!$A:$I,6,FALSE),F625=VLOOKUP(B625,PARTIDOS!$A:$I,7,FALSE)),3,1),0),"")</f>
        <v/>
      </c>
    </row>
    <row r="626" ht="20.1" customHeight="1">
      <c r="A626" s="12" t="inlineStr">
        <is>
          <t>Jugador 9</t>
        </is>
      </c>
      <c r="B626" s="8" t="inlineStr">
        <is>
          <t>M49</t>
        </is>
      </c>
      <c r="C626" s="12" t="inlineStr">
        <is>
          <t>República Checa</t>
        </is>
      </c>
      <c r="D626" s="12" t="inlineStr">
        <is>
          <t>Noruega</t>
        </is>
      </c>
      <c r="E626" s="8" t="n"/>
      <c r="F626" s="8" t="n"/>
      <c r="G626" s="8">
        <f>IF(OR(ISBLANK(E626),ISBLANK(F626)),"",IF(E626&gt;F626,"Local",IF(E626=F626,"Empate","Visitante")))</f>
        <v/>
      </c>
      <c r="H626" s="8">
        <f>IF(VLOOKUP(B626,PARTIDOS!$A:$I,9,FALSE)="Cerrado",IF(G626=VLOOKUP(B626,PARTIDOS!$A:$I,8,FALSE),IF(AND(E626=VLOOKUP(B626,PARTIDOS!$A:$I,6,FALSE),F626=VLOOKUP(B626,PARTIDOS!$A:$I,7,FALSE)),3,1),0),"")</f>
        <v/>
      </c>
    </row>
    <row r="627" ht="20.1" customHeight="1">
      <c r="A627" s="12" t="inlineStr">
        <is>
          <t>Jugador 9</t>
        </is>
      </c>
      <c r="B627" s="8" t="inlineStr">
        <is>
          <t>M50</t>
        </is>
      </c>
      <c r="C627" s="12" t="inlineStr">
        <is>
          <t>Japón</t>
        </is>
      </c>
      <c r="D627" s="12" t="inlineStr">
        <is>
          <t>Irán</t>
        </is>
      </c>
      <c r="E627" s="8" t="n"/>
      <c r="F627" s="8" t="n"/>
      <c r="G627" s="8">
        <f>IF(OR(ISBLANK(E627),ISBLANK(F627)),"",IF(E627&gt;F627,"Local",IF(E627=F627,"Empate","Visitante")))</f>
        <v/>
      </c>
      <c r="H627" s="8">
        <f>IF(VLOOKUP(B627,PARTIDOS!$A:$I,9,FALSE)="Cerrado",IF(G627=VLOOKUP(B627,PARTIDOS!$A:$I,8,FALSE),IF(AND(E627=VLOOKUP(B627,PARTIDOS!$A:$I,6,FALSE),F627=VLOOKUP(B627,PARTIDOS!$A:$I,7,FALSE)),3,1),0),"")</f>
        <v/>
      </c>
    </row>
    <row r="628" ht="20.1" customHeight="1">
      <c r="A628" s="12" t="inlineStr">
        <is>
          <t>Jugador 9</t>
        </is>
      </c>
      <c r="B628" s="8" t="inlineStr">
        <is>
          <t>M51</t>
        </is>
      </c>
      <c r="C628" s="12" t="inlineStr">
        <is>
          <t>República Checa</t>
        </is>
      </c>
      <c r="D628" s="12" t="inlineStr">
        <is>
          <t>Japón</t>
        </is>
      </c>
      <c r="E628" s="8" t="n"/>
      <c r="F628" s="8" t="n"/>
      <c r="G628" s="8">
        <f>IF(OR(ISBLANK(E628),ISBLANK(F628)),"",IF(E628&gt;F628,"Local",IF(E628=F628,"Empate","Visitante")))</f>
        <v/>
      </c>
      <c r="H628" s="8">
        <f>IF(VLOOKUP(B628,PARTIDOS!$A:$I,9,FALSE)="Cerrado",IF(G628=VLOOKUP(B628,PARTIDOS!$A:$I,8,FALSE),IF(AND(E628=VLOOKUP(B628,PARTIDOS!$A:$I,6,FALSE),F628=VLOOKUP(B628,PARTIDOS!$A:$I,7,FALSE)),3,1),0),"")</f>
        <v/>
      </c>
    </row>
    <row r="629" ht="20.1" customHeight="1">
      <c r="A629" s="12" t="inlineStr">
        <is>
          <t>Jugador 9</t>
        </is>
      </c>
      <c r="B629" s="8" t="inlineStr">
        <is>
          <t>M52</t>
        </is>
      </c>
      <c r="C629" s="12" t="inlineStr">
        <is>
          <t>Noruega</t>
        </is>
      </c>
      <c r="D629" s="12" t="inlineStr">
        <is>
          <t>Irán</t>
        </is>
      </c>
      <c r="E629" s="8" t="n"/>
      <c r="F629" s="8" t="n"/>
      <c r="G629" s="8">
        <f>IF(OR(ISBLANK(E629),ISBLANK(F629)),"",IF(E629&gt;F629,"Local",IF(E629=F629,"Empate","Visitante")))</f>
        <v/>
      </c>
      <c r="H629" s="8">
        <f>IF(VLOOKUP(B629,PARTIDOS!$A:$I,9,FALSE)="Cerrado",IF(G629=VLOOKUP(B629,PARTIDOS!$A:$I,8,FALSE),IF(AND(E629=VLOOKUP(B629,PARTIDOS!$A:$I,6,FALSE),F629=VLOOKUP(B629,PARTIDOS!$A:$I,7,FALSE)),3,1),0),"")</f>
        <v/>
      </c>
    </row>
    <row r="630" ht="20.1" customHeight="1">
      <c r="A630" s="12" t="inlineStr">
        <is>
          <t>Jugador 9</t>
        </is>
      </c>
      <c r="B630" s="8" t="inlineStr">
        <is>
          <t>M53</t>
        </is>
      </c>
      <c r="C630" s="12" t="inlineStr">
        <is>
          <t>República Checa</t>
        </is>
      </c>
      <c r="D630" s="12" t="inlineStr">
        <is>
          <t>Irán</t>
        </is>
      </c>
      <c r="E630" s="8" t="n"/>
      <c r="F630" s="8" t="n"/>
      <c r="G630" s="8">
        <f>IF(OR(ISBLANK(E630),ISBLANK(F630)),"",IF(E630&gt;F630,"Local",IF(E630=F630,"Empate","Visitante")))</f>
        <v/>
      </c>
      <c r="H630" s="8">
        <f>IF(VLOOKUP(B630,PARTIDOS!$A:$I,9,FALSE)="Cerrado",IF(G630=VLOOKUP(B630,PARTIDOS!$A:$I,8,FALSE),IF(AND(E630=VLOOKUP(B630,PARTIDOS!$A:$I,6,FALSE),F630=VLOOKUP(B630,PARTIDOS!$A:$I,7,FALSE)),3,1),0),"")</f>
        <v/>
      </c>
    </row>
    <row r="631" ht="20.1" customHeight="1">
      <c r="A631" s="12" t="inlineStr">
        <is>
          <t>Jugador 9</t>
        </is>
      </c>
      <c r="B631" s="8" t="inlineStr">
        <is>
          <t>M54</t>
        </is>
      </c>
      <c r="C631" s="12" t="inlineStr">
        <is>
          <t>Noruega</t>
        </is>
      </c>
      <c r="D631" s="12" t="inlineStr">
        <is>
          <t>Japón</t>
        </is>
      </c>
      <c r="E631" s="8" t="n"/>
      <c r="F631" s="8" t="n"/>
      <c r="G631" s="8">
        <f>IF(OR(ISBLANK(E631),ISBLANK(F631)),"",IF(E631&gt;F631,"Local",IF(E631=F631,"Empate","Visitante")))</f>
        <v/>
      </c>
      <c r="H631" s="8">
        <f>IF(VLOOKUP(B631,PARTIDOS!$A:$I,9,FALSE)="Cerrado",IF(G631=VLOOKUP(B631,PARTIDOS!$A:$I,8,FALSE),IF(AND(E631=VLOOKUP(B631,PARTIDOS!$A:$I,6,FALSE),F631=VLOOKUP(B631,PARTIDOS!$A:$I,7,FALSE)),3,1),0),"")</f>
        <v/>
      </c>
    </row>
    <row r="632" ht="20.1" customHeight="1">
      <c r="A632" s="12" t="inlineStr">
        <is>
          <t>Jugador 9</t>
        </is>
      </c>
      <c r="B632" s="8" t="inlineStr">
        <is>
          <t>M55</t>
        </is>
      </c>
      <c r="C632" s="12" t="inlineStr">
        <is>
          <t>Corea del Sur</t>
        </is>
      </c>
      <c r="D632" s="12" t="inlineStr">
        <is>
          <t>Australia</t>
        </is>
      </c>
      <c r="E632" s="8" t="n"/>
      <c r="F632" s="8" t="n"/>
      <c r="G632" s="8">
        <f>IF(OR(ISBLANK(E632),ISBLANK(F632)),"",IF(E632&gt;F632,"Local",IF(E632=F632,"Empate","Visitante")))</f>
        <v/>
      </c>
      <c r="H632" s="8">
        <f>IF(VLOOKUP(B632,PARTIDOS!$A:$I,9,FALSE)="Cerrado",IF(G632=VLOOKUP(B632,PARTIDOS!$A:$I,8,FALSE),IF(AND(E632=VLOOKUP(B632,PARTIDOS!$A:$I,6,FALSE),F632=VLOOKUP(B632,PARTIDOS!$A:$I,7,FALSE)),3,1),0),"")</f>
        <v/>
      </c>
    </row>
    <row r="633" ht="20.1" customHeight="1">
      <c r="A633" s="12" t="inlineStr">
        <is>
          <t>Jugador 9</t>
        </is>
      </c>
      <c r="B633" s="8" t="inlineStr">
        <is>
          <t>M56</t>
        </is>
      </c>
      <c r="C633" s="12" t="inlineStr">
        <is>
          <t>Marruecos</t>
        </is>
      </c>
      <c r="D633" s="12" t="inlineStr">
        <is>
          <t>Senegal</t>
        </is>
      </c>
      <c r="E633" s="8" t="n"/>
      <c r="F633" s="8" t="n"/>
      <c r="G633" s="8">
        <f>IF(OR(ISBLANK(E633),ISBLANK(F633)),"",IF(E633&gt;F633,"Local",IF(E633=F633,"Empate","Visitante")))</f>
        <v/>
      </c>
      <c r="H633" s="8">
        <f>IF(VLOOKUP(B633,PARTIDOS!$A:$I,9,FALSE)="Cerrado",IF(G633=VLOOKUP(B633,PARTIDOS!$A:$I,8,FALSE),IF(AND(E633=VLOOKUP(B633,PARTIDOS!$A:$I,6,FALSE),F633=VLOOKUP(B633,PARTIDOS!$A:$I,7,FALSE)),3,1),0),"")</f>
        <v/>
      </c>
    </row>
    <row r="634" ht="20.1" customHeight="1">
      <c r="A634" s="12" t="inlineStr">
        <is>
          <t>Jugador 9</t>
        </is>
      </c>
      <c r="B634" s="8" t="inlineStr">
        <is>
          <t>M57</t>
        </is>
      </c>
      <c r="C634" s="12" t="inlineStr">
        <is>
          <t>Corea del Sur</t>
        </is>
      </c>
      <c r="D634" s="12" t="inlineStr">
        <is>
          <t>Marruecos</t>
        </is>
      </c>
      <c r="E634" s="8" t="n"/>
      <c r="F634" s="8" t="n"/>
      <c r="G634" s="8">
        <f>IF(OR(ISBLANK(E634),ISBLANK(F634)),"",IF(E634&gt;F634,"Local",IF(E634=F634,"Empate","Visitante")))</f>
        <v/>
      </c>
      <c r="H634" s="8">
        <f>IF(VLOOKUP(B634,PARTIDOS!$A:$I,9,FALSE)="Cerrado",IF(G634=VLOOKUP(B634,PARTIDOS!$A:$I,8,FALSE),IF(AND(E634=VLOOKUP(B634,PARTIDOS!$A:$I,6,FALSE),F634=VLOOKUP(B634,PARTIDOS!$A:$I,7,FALSE)),3,1),0),"")</f>
        <v/>
      </c>
    </row>
    <row r="635" ht="20.1" customHeight="1">
      <c r="A635" s="12" t="inlineStr">
        <is>
          <t>Jugador 9</t>
        </is>
      </c>
      <c r="B635" s="8" t="inlineStr">
        <is>
          <t>M58</t>
        </is>
      </c>
      <c r="C635" s="12" t="inlineStr">
        <is>
          <t>Australia</t>
        </is>
      </c>
      <c r="D635" s="12" t="inlineStr">
        <is>
          <t>Senegal</t>
        </is>
      </c>
      <c r="E635" s="8" t="n"/>
      <c r="F635" s="8" t="n"/>
      <c r="G635" s="8">
        <f>IF(OR(ISBLANK(E635),ISBLANK(F635)),"",IF(E635&gt;F635,"Local",IF(E635=F635,"Empate","Visitante")))</f>
        <v/>
      </c>
      <c r="H635" s="8">
        <f>IF(VLOOKUP(B635,PARTIDOS!$A:$I,9,FALSE)="Cerrado",IF(G635=VLOOKUP(B635,PARTIDOS!$A:$I,8,FALSE),IF(AND(E635=VLOOKUP(B635,PARTIDOS!$A:$I,6,FALSE),F635=VLOOKUP(B635,PARTIDOS!$A:$I,7,FALSE)),3,1),0),"")</f>
        <v/>
      </c>
    </row>
    <row r="636" ht="20.1" customHeight="1">
      <c r="A636" s="12" t="inlineStr">
        <is>
          <t>Jugador 9</t>
        </is>
      </c>
      <c r="B636" s="8" t="inlineStr">
        <is>
          <t>M59</t>
        </is>
      </c>
      <c r="C636" s="12" t="inlineStr">
        <is>
          <t>Corea del Sur</t>
        </is>
      </c>
      <c r="D636" s="12" t="inlineStr">
        <is>
          <t>Senegal</t>
        </is>
      </c>
      <c r="E636" s="8" t="n"/>
      <c r="F636" s="8" t="n"/>
      <c r="G636" s="8">
        <f>IF(OR(ISBLANK(E636),ISBLANK(F636)),"",IF(E636&gt;F636,"Local",IF(E636=F636,"Empate","Visitante")))</f>
        <v/>
      </c>
      <c r="H636" s="8">
        <f>IF(VLOOKUP(B636,PARTIDOS!$A:$I,9,FALSE)="Cerrado",IF(G636=VLOOKUP(B636,PARTIDOS!$A:$I,8,FALSE),IF(AND(E636=VLOOKUP(B636,PARTIDOS!$A:$I,6,FALSE),F636=VLOOKUP(B636,PARTIDOS!$A:$I,7,FALSE)),3,1),0),"")</f>
        <v/>
      </c>
    </row>
    <row r="637" ht="20.1" customHeight="1">
      <c r="A637" s="12" t="inlineStr">
        <is>
          <t>Jugador 9</t>
        </is>
      </c>
      <c r="B637" s="8" t="inlineStr">
        <is>
          <t>M60</t>
        </is>
      </c>
      <c r="C637" s="12" t="inlineStr">
        <is>
          <t>Australia</t>
        </is>
      </c>
      <c r="D637" s="12" t="inlineStr">
        <is>
          <t>Marruecos</t>
        </is>
      </c>
      <c r="E637" s="8" t="n"/>
      <c r="F637" s="8" t="n"/>
      <c r="G637" s="8">
        <f>IF(OR(ISBLANK(E637),ISBLANK(F637)),"",IF(E637&gt;F637,"Local",IF(E637=F637,"Empate","Visitante")))</f>
        <v/>
      </c>
      <c r="H637" s="8">
        <f>IF(VLOOKUP(B637,PARTIDOS!$A:$I,9,FALSE)="Cerrado",IF(G637=VLOOKUP(B637,PARTIDOS!$A:$I,8,FALSE),IF(AND(E637=VLOOKUP(B637,PARTIDOS!$A:$I,6,FALSE),F637=VLOOKUP(B637,PARTIDOS!$A:$I,7,FALSE)),3,1),0),"")</f>
        <v/>
      </c>
    </row>
    <row r="638" ht="20.1" customHeight="1">
      <c r="A638" s="12" t="inlineStr">
        <is>
          <t>Jugador 9</t>
        </is>
      </c>
      <c r="B638" s="8" t="inlineStr">
        <is>
          <t>M61</t>
        </is>
      </c>
      <c r="C638" s="12" t="inlineStr">
        <is>
          <t>Túnez</t>
        </is>
      </c>
      <c r="D638" s="12" t="inlineStr">
        <is>
          <t>Nigeria</t>
        </is>
      </c>
      <c r="E638" s="8" t="n"/>
      <c r="F638" s="8" t="n"/>
      <c r="G638" s="8">
        <f>IF(OR(ISBLANK(E638),ISBLANK(F638)),"",IF(E638&gt;F638,"Local",IF(E638=F638,"Empate","Visitante")))</f>
        <v/>
      </c>
      <c r="H638" s="8">
        <f>IF(VLOOKUP(B638,PARTIDOS!$A:$I,9,FALSE)="Cerrado",IF(G638=VLOOKUP(B638,PARTIDOS!$A:$I,8,FALSE),IF(AND(E638=VLOOKUP(B638,PARTIDOS!$A:$I,6,FALSE),F638=VLOOKUP(B638,PARTIDOS!$A:$I,7,FALSE)),3,1),0),"")</f>
        <v/>
      </c>
    </row>
    <row r="639" ht="20.1" customHeight="1">
      <c r="A639" s="12" t="inlineStr">
        <is>
          <t>Jugador 9</t>
        </is>
      </c>
      <c r="B639" s="8" t="inlineStr">
        <is>
          <t>M62</t>
        </is>
      </c>
      <c r="C639" s="12" t="inlineStr">
        <is>
          <t>Camerún</t>
        </is>
      </c>
      <c r="D639" s="12" t="inlineStr">
        <is>
          <t>Egipto</t>
        </is>
      </c>
      <c r="E639" s="8" t="n"/>
      <c r="F639" s="8" t="n"/>
      <c r="G639" s="8">
        <f>IF(OR(ISBLANK(E639),ISBLANK(F639)),"",IF(E639&gt;F639,"Local",IF(E639=F639,"Empate","Visitante")))</f>
        <v/>
      </c>
      <c r="H639" s="8">
        <f>IF(VLOOKUP(B639,PARTIDOS!$A:$I,9,FALSE)="Cerrado",IF(G639=VLOOKUP(B639,PARTIDOS!$A:$I,8,FALSE),IF(AND(E639=VLOOKUP(B639,PARTIDOS!$A:$I,6,FALSE),F639=VLOOKUP(B639,PARTIDOS!$A:$I,7,FALSE)),3,1),0),"")</f>
        <v/>
      </c>
    </row>
    <row r="640" ht="20.1" customHeight="1">
      <c r="A640" s="12" t="inlineStr">
        <is>
          <t>Jugador 9</t>
        </is>
      </c>
      <c r="B640" s="8" t="inlineStr">
        <is>
          <t>M63</t>
        </is>
      </c>
      <c r="C640" s="12" t="inlineStr">
        <is>
          <t>Túnez</t>
        </is>
      </c>
      <c r="D640" s="12" t="inlineStr">
        <is>
          <t>Camerún</t>
        </is>
      </c>
      <c r="E640" s="8" t="n"/>
      <c r="F640" s="8" t="n"/>
      <c r="G640" s="8">
        <f>IF(OR(ISBLANK(E640),ISBLANK(F640)),"",IF(E640&gt;F640,"Local",IF(E640=F640,"Empate","Visitante")))</f>
        <v/>
      </c>
      <c r="H640" s="8">
        <f>IF(VLOOKUP(B640,PARTIDOS!$A:$I,9,FALSE)="Cerrado",IF(G640=VLOOKUP(B640,PARTIDOS!$A:$I,8,FALSE),IF(AND(E640=VLOOKUP(B640,PARTIDOS!$A:$I,6,FALSE),F640=VLOOKUP(B640,PARTIDOS!$A:$I,7,FALSE)),3,1),0),"")</f>
        <v/>
      </c>
    </row>
    <row r="641" ht="20.1" customHeight="1">
      <c r="A641" s="12" t="inlineStr">
        <is>
          <t>Jugador 9</t>
        </is>
      </c>
      <c r="B641" s="8" t="inlineStr">
        <is>
          <t>M64</t>
        </is>
      </c>
      <c r="C641" s="12" t="inlineStr">
        <is>
          <t>Nigeria</t>
        </is>
      </c>
      <c r="D641" s="12" t="inlineStr">
        <is>
          <t>Egipto</t>
        </is>
      </c>
      <c r="E641" s="8" t="n"/>
      <c r="F641" s="8" t="n"/>
      <c r="G641" s="8">
        <f>IF(OR(ISBLANK(E641),ISBLANK(F641)),"",IF(E641&gt;F641,"Local",IF(E641=F641,"Empate","Visitante")))</f>
        <v/>
      </c>
      <c r="H641" s="8">
        <f>IF(VLOOKUP(B641,PARTIDOS!$A:$I,9,FALSE)="Cerrado",IF(G641=VLOOKUP(B641,PARTIDOS!$A:$I,8,FALSE),IF(AND(E641=VLOOKUP(B641,PARTIDOS!$A:$I,6,FALSE),F641=VLOOKUP(B641,PARTIDOS!$A:$I,7,FALSE)),3,1),0),"")</f>
        <v/>
      </c>
    </row>
    <row r="642" ht="20.1" customHeight="1">
      <c r="A642" s="12" t="inlineStr">
        <is>
          <t>Jugador 9</t>
        </is>
      </c>
      <c r="B642" s="8" t="inlineStr">
        <is>
          <t>M65</t>
        </is>
      </c>
      <c r="C642" s="12" t="inlineStr">
        <is>
          <t>Túnez</t>
        </is>
      </c>
      <c r="D642" s="12" t="inlineStr">
        <is>
          <t>Egipto</t>
        </is>
      </c>
      <c r="E642" s="8" t="n"/>
      <c r="F642" s="8" t="n"/>
      <c r="G642" s="8">
        <f>IF(OR(ISBLANK(E642),ISBLANK(F642)),"",IF(E642&gt;F642,"Local",IF(E642=F642,"Empate","Visitante")))</f>
        <v/>
      </c>
      <c r="H642" s="8">
        <f>IF(VLOOKUP(B642,PARTIDOS!$A:$I,9,FALSE)="Cerrado",IF(G642=VLOOKUP(B642,PARTIDOS!$A:$I,8,FALSE),IF(AND(E642=VLOOKUP(B642,PARTIDOS!$A:$I,6,FALSE),F642=VLOOKUP(B642,PARTIDOS!$A:$I,7,FALSE)),3,1),0),"")</f>
        <v/>
      </c>
    </row>
    <row r="643" ht="20.1" customHeight="1">
      <c r="A643" s="12" t="inlineStr">
        <is>
          <t>Jugador 9</t>
        </is>
      </c>
      <c r="B643" s="8" t="inlineStr">
        <is>
          <t>M66</t>
        </is>
      </c>
      <c r="C643" s="12" t="inlineStr">
        <is>
          <t>Nigeria</t>
        </is>
      </c>
      <c r="D643" s="12" t="inlineStr">
        <is>
          <t>Camerún</t>
        </is>
      </c>
      <c r="E643" s="8" t="n"/>
      <c r="F643" s="8" t="n"/>
      <c r="G643" s="8">
        <f>IF(OR(ISBLANK(E643),ISBLANK(F643)),"",IF(E643&gt;F643,"Local",IF(E643=F643,"Empate","Visitante")))</f>
        <v/>
      </c>
      <c r="H643" s="8">
        <f>IF(VLOOKUP(B643,PARTIDOS!$A:$I,9,FALSE)="Cerrado",IF(G643=VLOOKUP(B643,PARTIDOS!$A:$I,8,FALSE),IF(AND(E643=VLOOKUP(B643,PARTIDOS!$A:$I,6,FALSE),F643=VLOOKUP(B643,PARTIDOS!$A:$I,7,FALSE)),3,1),0),"")</f>
        <v/>
      </c>
    </row>
    <row r="644" ht="20.1" customHeight="1">
      <c r="A644" s="12" t="inlineStr">
        <is>
          <t>Jugador 9</t>
        </is>
      </c>
      <c r="B644" s="8" t="inlineStr">
        <is>
          <t>M67</t>
        </is>
      </c>
      <c r="C644" s="12" t="inlineStr">
        <is>
          <t>Costa de Marfil</t>
        </is>
      </c>
      <c r="D644" s="12" t="inlineStr">
        <is>
          <t>Sudáfrica</t>
        </is>
      </c>
      <c r="E644" s="8" t="n"/>
      <c r="F644" s="8" t="n"/>
      <c r="G644" s="8">
        <f>IF(OR(ISBLANK(E644),ISBLANK(F644)),"",IF(E644&gt;F644,"Local",IF(E644=F644,"Empate","Visitante")))</f>
        <v/>
      </c>
      <c r="H644" s="8">
        <f>IF(VLOOKUP(B644,PARTIDOS!$A:$I,9,FALSE)="Cerrado",IF(G644=VLOOKUP(B644,PARTIDOS!$A:$I,8,FALSE),IF(AND(E644=VLOOKUP(B644,PARTIDOS!$A:$I,6,FALSE),F644=VLOOKUP(B644,PARTIDOS!$A:$I,7,FALSE)),3,1),0),"")</f>
        <v/>
      </c>
    </row>
    <row r="645" ht="20.1" customHeight="1">
      <c r="A645" s="12" t="inlineStr">
        <is>
          <t>Jugador 9</t>
        </is>
      </c>
      <c r="B645" s="8" t="inlineStr">
        <is>
          <t>M68</t>
        </is>
      </c>
      <c r="C645" s="12" t="inlineStr">
        <is>
          <t>Panáma</t>
        </is>
      </c>
      <c r="D645" s="12" t="inlineStr">
        <is>
          <t>Nueva Zelanda</t>
        </is>
      </c>
      <c r="E645" s="8" t="n"/>
      <c r="F645" s="8" t="n"/>
      <c r="G645" s="8">
        <f>IF(OR(ISBLANK(E645),ISBLANK(F645)),"",IF(E645&gt;F645,"Local",IF(E645=F645,"Empate","Visitante")))</f>
        <v/>
      </c>
      <c r="H645" s="8">
        <f>IF(VLOOKUP(B645,PARTIDOS!$A:$I,9,FALSE)="Cerrado",IF(G645=VLOOKUP(B645,PARTIDOS!$A:$I,8,FALSE),IF(AND(E645=VLOOKUP(B645,PARTIDOS!$A:$I,6,FALSE),F645=VLOOKUP(B645,PARTIDOS!$A:$I,7,FALSE)),3,1),0),"")</f>
        <v/>
      </c>
    </row>
    <row r="646" ht="20.1" customHeight="1">
      <c r="A646" s="12" t="inlineStr">
        <is>
          <t>Jugador 9</t>
        </is>
      </c>
      <c r="B646" s="8" t="inlineStr">
        <is>
          <t>M69</t>
        </is>
      </c>
      <c r="C646" s="12" t="inlineStr">
        <is>
          <t>Costa de Marfil</t>
        </is>
      </c>
      <c r="D646" s="12" t="inlineStr">
        <is>
          <t>Panáma</t>
        </is>
      </c>
      <c r="E646" s="8" t="n"/>
      <c r="F646" s="8" t="n"/>
      <c r="G646" s="8">
        <f>IF(OR(ISBLANK(E646),ISBLANK(F646)),"",IF(E646&gt;F646,"Local",IF(E646=F646,"Empate","Visitante")))</f>
        <v/>
      </c>
      <c r="H646" s="8">
        <f>IF(VLOOKUP(B646,PARTIDOS!$A:$I,9,FALSE)="Cerrado",IF(G646=VLOOKUP(B646,PARTIDOS!$A:$I,8,FALSE),IF(AND(E646=VLOOKUP(B646,PARTIDOS!$A:$I,6,FALSE),F646=VLOOKUP(B646,PARTIDOS!$A:$I,7,FALSE)),3,1),0),"")</f>
        <v/>
      </c>
    </row>
    <row r="647" ht="20.1" customHeight="1">
      <c r="A647" s="12" t="inlineStr">
        <is>
          <t>Jugador 9</t>
        </is>
      </c>
      <c r="B647" s="8" t="inlineStr">
        <is>
          <t>M70</t>
        </is>
      </c>
      <c r="C647" s="12" t="inlineStr">
        <is>
          <t>Sudáfrica</t>
        </is>
      </c>
      <c r="D647" s="12" t="inlineStr">
        <is>
          <t>Nueva Zelanda</t>
        </is>
      </c>
      <c r="E647" s="8" t="n"/>
      <c r="F647" s="8" t="n"/>
      <c r="G647" s="8">
        <f>IF(OR(ISBLANK(E647),ISBLANK(F647)),"",IF(E647&gt;F647,"Local",IF(E647=F647,"Empate","Visitante")))</f>
        <v/>
      </c>
      <c r="H647" s="8">
        <f>IF(VLOOKUP(B647,PARTIDOS!$A:$I,9,FALSE)="Cerrado",IF(G647=VLOOKUP(B647,PARTIDOS!$A:$I,8,FALSE),IF(AND(E647=VLOOKUP(B647,PARTIDOS!$A:$I,6,FALSE),F647=VLOOKUP(B647,PARTIDOS!$A:$I,7,FALSE)),3,1),0),"")</f>
        <v/>
      </c>
    </row>
    <row r="648" ht="20.1" customHeight="1">
      <c r="A648" s="12" t="inlineStr">
        <is>
          <t>Jugador 9</t>
        </is>
      </c>
      <c r="B648" s="8" t="inlineStr">
        <is>
          <t>M71</t>
        </is>
      </c>
      <c r="C648" s="12" t="inlineStr">
        <is>
          <t>Costa de Marfil</t>
        </is>
      </c>
      <c r="D648" s="12" t="inlineStr">
        <is>
          <t>Nueva Zelanda</t>
        </is>
      </c>
      <c r="E648" s="8" t="n"/>
      <c r="F648" s="8" t="n"/>
      <c r="G648" s="8">
        <f>IF(OR(ISBLANK(E648),ISBLANK(F648)),"",IF(E648&gt;F648,"Local",IF(E648=F648,"Empate","Visitante")))</f>
        <v/>
      </c>
      <c r="H648" s="8">
        <f>IF(VLOOKUP(B648,PARTIDOS!$A:$I,9,FALSE)="Cerrado",IF(G648=VLOOKUP(B648,PARTIDOS!$A:$I,8,FALSE),IF(AND(E648=VLOOKUP(B648,PARTIDOS!$A:$I,6,FALSE),F648=VLOOKUP(B648,PARTIDOS!$A:$I,7,FALSE)),3,1),0),"")</f>
        <v/>
      </c>
    </row>
    <row r="649" ht="20.1" customHeight="1">
      <c r="A649" s="12" t="inlineStr">
        <is>
          <t>Jugador 9</t>
        </is>
      </c>
      <c r="B649" s="8" t="inlineStr">
        <is>
          <t>M72</t>
        </is>
      </c>
      <c r="C649" s="12" t="inlineStr">
        <is>
          <t>Sudáfrica</t>
        </is>
      </c>
      <c r="D649" s="12" t="inlineStr">
        <is>
          <t>Panáma</t>
        </is>
      </c>
      <c r="E649" s="8" t="n"/>
      <c r="F649" s="8" t="n"/>
      <c r="G649" s="8">
        <f>IF(OR(ISBLANK(E649),ISBLANK(F649)),"",IF(E649&gt;F649,"Local",IF(E649=F649,"Empate","Visitante")))</f>
        <v/>
      </c>
      <c r="H649" s="8">
        <f>IF(VLOOKUP(B649,PARTIDOS!$A:$I,9,FALSE)="Cerrado",IF(G649=VLOOKUP(B649,PARTIDOS!$A:$I,8,FALSE),IF(AND(E649=VLOOKUP(B649,PARTIDOS!$A:$I,6,FALSE),F649=VLOOKUP(B649,PARTIDOS!$A:$I,7,FALSE)),3,1),0),"")</f>
        <v/>
      </c>
    </row>
    <row r="650" ht="20.1" customHeight="1">
      <c r="A650" s="12" t="inlineStr">
        <is>
          <t>Jugador 10</t>
        </is>
      </c>
      <c r="B650" s="8" t="inlineStr">
        <is>
          <t>M01</t>
        </is>
      </c>
      <c r="C650" s="12" t="inlineStr">
        <is>
          <t>México</t>
        </is>
      </c>
      <c r="D650" s="12" t="inlineStr">
        <is>
          <t>EEUU</t>
        </is>
      </c>
      <c r="E650" s="8" t="n"/>
      <c r="F650" s="8" t="n"/>
      <c r="G650" s="8">
        <f>IF(OR(ISBLANK(E650),ISBLANK(F650)),"",IF(E650&gt;F650,"Local",IF(E650=F650,"Empate","Visitante")))</f>
        <v/>
      </c>
      <c r="H650" s="8">
        <f>IF(VLOOKUP(B650,PARTIDOS!$A:$I,9,FALSE)="Cerrado",IF(G650=VLOOKUP(B650,PARTIDOS!$A:$I,8,FALSE),IF(AND(E650=VLOOKUP(B650,PARTIDOS!$A:$I,6,FALSE),F650=VLOOKUP(B650,PARTIDOS!$A:$I,7,FALSE)),3,1),0),"")</f>
        <v/>
      </c>
    </row>
    <row r="651" ht="20.1" customHeight="1">
      <c r="A651" s="12" t="inlineStr">
        <is>
          <t>Jugador 10</t>
        </is>
      </c>
      <c r="B651" s="8" t="inlineStr">
        <is>
          <t>M02</t>
        </is>
      </c>
      <c r="C651" s="12" t="inlineStr">
        <is>
          <t>Canadá</t>
        </is>
      </c>
      <c r="D651" s="12" t="inlineStr">
        <is>
          <t>Jamaica</t>
        </is>
      </c>
      <c r="E651" s="8" t="n"/>
      <c r="F651" s="8" t="n"/>
      <c r="G651" s="8">
        <f>IF(OR(ISBLANK(E651),ISBLANK(F651)),"",IF(E651&gt;F651,"Local",IF(E651=F651,"Empate","Visitante")))</f>
        <v/>
      </c>
      <c r="H651" s="8">
        <f>IF(VLOOKUP(B651,PARTIDOS!$A:$I,9,FALSE)="Cerrado",IF(G651=VLOOKUP(B651,PARTIDOS!$A:$I,8,FALSE),IF(AND(E651=VLOOKUP(B651,PARTIDOS!$A:$I,6,FALSE),F651=VLOOKUP(B651,PARTIDOS!$A:$I,7,FALSE)),3,1),0),"")</f>
        <v/>
      </c>
    </row>
    <row r="652" ht="20.1" customHeight="1">
      <c r="A652" s="12" t="inlineStr">
        <is>
          <t>Jugador 10</t>
        </is>
      </c>
      <c r="B652" s="8" t="inlineStr">
        <is>
          <t>M03</t>
        </is>
      </c>
      <c r="C652" s="12" t="inlineStr">
        <is>
          <t>México</t>
        </is>
      </c>
      <c r="D652" s="12" t="inlineStr">
        <is>
          <t>Canadá</t>
        </is>
      </c>
      <c r="E652" s="8" t="n"/>
      <c r="F652" s="8" t="n"/>
      <c r="G652" s="8">
        <f>IF(OR(ISBLANK(E652),ISBLANK(F652)),"",IF(E652&gt;F652,"Local",IF(E652=F652,"Empate","Visitante")))</f>
        <v/>
      </c>
      <c r="H652" s="8">
        <f>IF(VLOOKUP(B652,PARTIDOS!$A:$I,9,FALSE)="Cerrado",IF(G652=VLOOKUP(B652,PARTIDOS!$A:$I,8,FALSE),IF(AND(E652=VLOOKUP(B652,PARTIDOS!$A:$I,6,FALSE),F652=VLOOKUP(B652,PARTIDOS!$A:$I,7,FALSE)),3,1),0),"")</f>
        <v/>
      </c>
    </row>
    <row r="653" ht="20.1" customHeight="1">
      <c r="A653" s="12" t="inlineStr">
        <is>
          <t>Jugador 10</t>
        </is>
      </c>
      <c r="B653" s="8" t="inlineStr">
        <is>
          <t>M04</t>
        </is>
      </c>
      <c r="C653" s="12" t="inlineStr">
        <is>
          <t>EEUU</t>
        </is>
      </c>
      <c r="D653" s="12" t="inlineStr">
        <is>
          <t>Jamaica</t>
        </is>
      </c>
      <c r="E653" s="8" t="n"/>
      <c r="F653" s="8" t="n"/>
      <c r="G653" s="8">
        <f>IF(OR(ISBLANK(E653),ISBLANK(F653)),"",IF(E653&gt;F653,"Local",IF(E653=F653,"Empate","Visitante")))</f>
        <v/>
      </c>
      <c r="H653" s="8">
        <f>IF(VLOOKUP(B653,PARTIDOS!$A:$I,9,FALSE)="Cerrado",IF(G653=VLOOKUP(B653,PARTIDOS!$A:$I,8,FALSE),IF(AND(E653=VLOOKUP(B653,PARTIDOS!$A:$I,6,FALSE),F653=VLOOKUP(B653,PARTIDOS!$A:$I,7,FALSE)),3,1),0),"")</f>
        <v/>
      </c>
    </row>
    <row r="654" ht="20.1" customHeight="1">
      <c r="A654" s="12" t="inlineStr">
        <is>
          <t>Jugador 10</t>
        </is>
      </c>
      <c r="B654" s="8" t="inlineStr">
        <is>
          <t>M05</t>
        </is>
      </c>
      <c r="C654" s="12" t="inlineStr">
        <is>
          <t>México</t>
        </is>
      </c>
      <c r="D654" s="12" t="inlineStr">
        <is>
          <t>Jamaica</t>
        </is>
      </c>
      <c r="E654" s="8" t="n"/>
      <c r="F654" s="8" t="n"/>
      <c r="G654" s="8">
        <f>IF(OR(ISBLANK(E654),ISBLANK(F654)),"",IF(E654&gt;F654,"Local",IF(E654=F654,"Empate","Visitante")))</f>
        <v/>
      </c>
      <c r="H654" s="8">
        <f>IF(VLOOKUP(B654,PARTIDOS!$A:$I,9,FALSE)="Cerrado",IF(G654=VLOOKUP(B654,PARTIDOS!$A:$I,8,FALSE),IF(AND(E654=VLOOKUP(B654,PARTIDOS!$A:$I,6,FALSE),F654=VLOOKUP(B654,PARTIDOS!$A:$I,7,FALSE)),3,1),0),"")</f>
        <v/>
      </c>
    </row>
    <row r="655" ht="20.1" customHeight="1">
      <c r="A655" s="12" t="inlineStr">
        <is>
          <t>Jugador 10</t>
        </is>
      </c>
      <c r="B655" s="8" t="inlineStr">
        <is>
          <t>M06</t>
        </is>
      </c>
      <c r="C655" s="12" t="inlineStr">
        <is>
          <t>EEUU</t>
        </is>
      </c>
      <c r="D655" s="12" t="inlineStr">
        <is>
          <t>Canadá</t>
        </is>
      </c>
      <c r="E655" s="8" t="n"/>
      <c r="F655" s="8" t="n"/>
      <c r="G655" s="8">
        <f>IF(OR(ISBLANK(E655),ISBLANK(F655)),"",IF(E655&gt;F655,"Local",IF(E655=F655,"Empate","Visitante")))</f>
        <v/>
      </c>
      <c r="H655" s="8">
        <f>IF(VLOOKUP(B655,PARTIDOS!$A:$I,9,FALSE)="Cerrado",IF(G655=VLOOKUP(B655,PARTIDOS!$A:$I,8,FALSE),IF(AND(E655=VLOOKUP(B655,PARTIDOS!$A:$I,6,FALSE),F655=VLOOKUP(B655,PARTIDOS!$A:$I,7,FALSE)),3,1),0),"")</f>
        <v/>
      </c>
    </row>
    <row r="656" ht="20.1" customHeight="1">
      <c r="A656" s="12" t="inlineStr">
        <is>
          <t>Jugador 10</t>
        </is>
      </c>
      <c r="B656" s="8" t="inlineStr">
        <is>
          <t>M07</t>
        </is>
      </c>
      <c r="C656" s="12" t="inlineStr">
        <is>
          <t>Argentina</t>
        </is>
      </c>
      <c r="D656" s="12" t="inlineStr">
        <is>
          <t>Brasil</t>
        </is>
      </c>
      <c r="E656" s="8" t="n"/>
      <c r="F656" s="8" t="n"/>
      <c r="G656" s="8">
        <f>IF(OR(ISBLANK(E656),ISBLANK(F656)),"",IF(E656&gt;F656,"Local",IF(E656=F656,"Empate","Visitante")))</f>
        <v/>
      </c>
      <c r="H656" s="8">
        <f>IF(VLOOKUP(B656,PARTIDOS!$A:$I,9,FALSE)="Cerrado",IF(G656=VLOOKUP(B656,PARTIDOS!$A:$I,8,FALSE),IF(AND(E656=VLOOKUP(B656,PARTIDOS!$A:$I,6,FALSE),F656=VLOOKUP(B656,PARTIDOS!$A:$I,7,FALSE)),3,1),0),"")</f>
        <v/>
      </c>
    </row>
    <row r="657" ht="20.1" customHeight="1">
      <c r="A657" s="12" t="inlineStr">
        <is>
          <t>Jugador 10</t>
        </is>
      </c>
      <c r="B657" s="8" t="inlineStr">
        <is>
          <t>M08</t>
        </is>
      </c>
      <c r="C657" s="12" t="inlineStr">
        <is>
          <t>Colombia</t>
        </is>
      </c>
      <c r="D657" s="12" t="inlineStr">
        <is>
          <t>Uruguay</t>
        </is>
      </c>
      <c r="E657" s="8" t="n"/>
      <c r="F657" s="8" t="n"/>
      <c r="G657" s="8">
        <f>IF(OR(ISBLANK(E657),ISBLANK(F657)),"",IF(E657&gt;F657,"Local",IF(E657=F657,"Empate","Visitante")))</f>
        <v/>
      </c>
      <c r="H657" s="8">
        <f>IF(VLOOKUP(B657,PARTIDOS!$A:$I,9,FALSE)="Cerrado",IF(G657=VLOOKUP(B657,PARTIDOS!$A:$I,8,FALSE),IF(AND(E657=VLOOKUP(B657,PARTIDOS!$A:$I,6,FALSE),F657=VLOOKUP(B657,PARTIDOS!$A:$I,7,FALSE)),3,1),0),"")</f>
        <v/>
      </c>
    </row>
    <row r="658" ht="20.1" customHeight="1">
      <c r="A658" s="12" t="inlineStr">
        <is>
          <t>Jugador 10</t>
        </is>
      </c>
      <c r="B658" s="8" t="inlineStr">
        <is>
          <t>M09</t>
        </is>
      </c>
      <c r="C658" s="12" t="inlineStr">
        <is>
          <t>Argentina</t>
        </is>
      </c>
      <c r="D658" s="12" t="inlineStr">
        <is>
          <t>Colombia</t>
        </is>
      </c>
      <c r="E658" s="8" t="n"/>
      <c r="F658" s="8" t="n"/>
      <c r="G658" s="8">
        <f>IF(OR(ISBLANK(E658),ISBLANK(F658)),"",IF(E658&gt;F658,"Local",IF(E658=F658,"Empate","Visitante")))</f>
        <v/>
      </c>
      <c r="H658" s="8">
        <f>IF(VLOOKUP(B658,PARTIDOS!$A:$I,9,FALSE)="Cerrado",IF(G658=VLOOKUP(B658,PARTIDOS!$A:$I,8,FALSE),IF(AND(E658=VLOOKUP(B658,PARTIDOS!$A:$I,6,FALSE),F658=VLOOKUP(B658,PARTIDOS!$A:$I,7,FALSE)),3,1),0),"")</f>
        <v/>
      </c>
    </row>
    <row r="659" ht="20.1" customHeight="1">
      <c r="A659" s="12" t="inlineStr">
        <is>
          <t>Jugador 10</t>
        </is>
      </c>
      <c r="B659" s="8" t="inlineStr">
        <is>
          <t>M10</t>
        </is>
      </c>
      <c r="C659" s="12" t="inlineStr">
        <is>
          <t>Brasil</t>
        </is>
      </c>
      <c r="D659" s="12" t="inlineStr">
        <is>
          <t>Uruguay</t>
        </is>
      </c>
      <c r="E659" s="8" t="n"/>
      <c r="F659" s="8" t="n"/>
      <c r="G659" s="8">
        <f>IF(OR(ISBLANK(E659),ISBLANK(F659)),"",IF(E659&gt;F659,"Local",IF(E659=F659,"Empate","Visitante")))</f>
        <v/>
      </c>
      <c r="H659" s="8">
        <f>IF(VLOOKUP(B659,PARTIDOS!$A:$I,9,FALSE)="Cerrado",IF(G659=VLOOKUP(B659,PARTIDOS!$A:$I,8,FALSE),IF(AND(E659=VLOOKUP(B659,PARTIDOS!$A:$I,6,FALSE),F659=VLOOKUP(B659,PARTIDOS!$A:$I,7,FALSE)),3,1),0),"")</f>
        <v/>
      </c>
    </row>
    <row r="660" ht="20.1" customHeight="1">
      <c r="A660" s="12" t="inlineStr">
        <is>
          <t>Jugador 10</t>
        </is>
      </c>
      <c r="B660" s="8" t="inlineStr">
        <is>
          <t>M11</t>
        </is>
      </c>
      <c r="C660" s="12" t="inlineStr">
        <is>
          <t>Argentina</t>
        </is>
      </c>
      <c r="D660" s="12" t="inlineStr">
        <is>
          <t>Uruguay</t>
        </is>
      </c>
      <c r="E660" s="8" t="n"/>
      <c r="F660" s="8" t="n"/>
      <c r="G660" s="8">
        <f>IF(OR(ISBLANK(E660),ISBLANK(F660)),"",IF(E660&gt;F660,"Local",IF(E660=F660,"Empate","Visitante")))</f>
        <v/>
      </c>
      <c r="H660" s="8">
        <f>IF(VLOOKUP(B660,PARTIDOS!$A:$I,9,FALSE)="Cerrado",IF(G660=VLOOKUP(B660,PARTIDOS!$A:$I,8,FALSE),IF(AND(E660=VLOOKUP(B660,PARTIDOS!$A:$I,6,FALSE),F660=VLOOKUP(B660,PARTIDOS!$A:$I,7,FALSE)),3,1),0),"")</f>
        <v/>
      </c>
    </row>
    <row r="661" ht="20.1" customHeight="1">
      <c r="A661" s="12" t="inlineStr">
        <is>
          <t>Jugador 10</t>
        </is>
      </c>
      <c r="B661" s="8" t="inlineStr">
        <is>
          <t>M12</t>
        </is>
      </c>
      <c r="C661" s="12" t="inlineStr">
        <is>
          <t>Brasil</t>
        </is>
      </c>
      <c r="D661" s="12" t="inlineStr">
        <is>
          <t>Colombia</t>
        </is>
      </c>
      <c r="E661" s="8" t="n"/>
      <c r="F661" s="8" t="n"/>
      <c r="G661" s="8">
        <f>IF(OR(ISBLANK(E661),ISBLANK(F661)),"",IF(E661&gt;F661,"Local",IF(E661=F661,"Empate","Visitante")))</f>
        <v/>
      </c>
      <c r="H661" s="8">
        <f>IF(VLOOKUP(B661,PARTIDOS!$A:$I,9,FALSE)="Cerrado",IF(G661=VLOOKUP(B661,PARTIDOS!$A:$I,8,FALSE),IF(AND(E661=VLOOKUP(B661,PARTIDOS!$A:$I,6,FALSE),F661=VLOOKUP(B661,PARTIDOS!$A:$I,7,FALSE)),3,1),0),"")</f>
        <v/>
      </c>
    </row>
    <row r="662" ht="20.1" customHeight="1">
      <c r="A662" s="12" t="inlineStr">
        <is>
          <t>Jugador 10</t>
        </is>
      </c>
      <c r="B662" s="8" t="inlineStr">
        <is>
          <t>M13</t>
        </is>
      </c>
      <c r="C662" s="12" t="inlineStr">
        <is>
          <t>Ecuador</t>
        </is>
      </c>
      <c r="D662" s="12" t="inlineStr">
        <is>
          <t>Perú</t>
        </is>
      </c>
      <c r="E662" s="8" t="n"/>
      <c r="F662" s="8" t="n"/>
      <c r="G662" s="8">
        <f>IF(OR(ISBLANK(E662),ISBLANK(F662)),"",IF(E662&gt;F662,"Local",IF(E662=F662,"Empate","Visitante")))</f>
        <v/>
      </c>
      <c r="H662" s="8">
        <f>IF(VLOOKUP(B662,PARTIDOS!$A:$I,9,FALSE)="Cerrado",IF(G662=VLOOKUP(B662,PARTIDOS!$A:$I,8,FALSE),IF(AND(E662=VLOOKUP(B662,PARTIDOS!$A:$I,6,FALSE),F662=VLOOKUP(B662,PARTIDOS!$A:$I,7,FALSE)),3,1),0),"")</f>
        <v/>
      </c>
    </row>
    <row r="663" ht="20.1" customHeight="1">
      <c r="A663" s="12" t="inlineStr">
        <is>
          <t>Jugador 10</t>
        </is>
      </c>
      <c r="B663" s="8" t="inlineStr">
        <is>
          <t>M14</t>
        </is>
      </c>
      <c r="C663" s="12" t="inlineStr">
        <is>
          <t>Chile</t>
        </is>
      </c>
      <c r="D663" s="12" t="inlineStr">
        <is>
          <t>Paraguay</t>
        </is>
      </c>
      <c r="E663" s="8" t="n"/>
      <c r="F663" s="8" t="n"/>
      <c r="G663" s="8">
        <f>IF(OR(ISBLANK(E663),ISBLANK(F663)),"",IF(E663&gt;F663,"Local",IF(E663=F663,"Empate","Visitante")))</f>
        <v/>
      </c>
      <c r="H663" s="8">
        <f>IF(VLOOKUP(B663,PARTIDOS!$A:$I,9,FALSE)="Cerrado",IF(G663=VLOOKUP(B663,PARTIDOS!$A:$I,8,FALSE),IF(AND(E663=VLOOKUP(B663,PARTIDOS!$A:$I,6,FALSE),F663=VLOOKUP(B663,PARTIDOS!$A:$I,7,FALSE)),3,1),0),"")</f>
        <v/>
      </c>
    </row>
    <row r="664" ht="20.1" customHeight="1">
      <c r="A664" s="12" t="inlineStr">
        <is>
          <t>Jugador 10</t>
        </is>
      </c>
      <c r="B664" s="8" t="inlineStr">
        <is>
          <t>M15</t>
        </is>
      </c>
      <c r="C664" s="12" t="inlineStr">
        <is>
          <t>Ecuador</t>
        </is>
      </c>
      <c r="D664" s="12" t="inlineStr">
        <is>
          <t>Chile</t>
        </is>
      </c>
      <c r="E664" s="8" t="n"/>
      <c r="F664" s="8" t="n"/>
      <c r="G664" s="8">
        <f>IF(OR(ISBLANK(E664),ISBLANK(F664)),"",IF(E664&gt;F664,"Local",IF(E664=F664,"Empate","Visitante")))</f>
        <v/>
      </c>
      <c r="H664" s="8">
        <f>IF(VLOOKUP(B664,PARTIDOS!$A:$I,9,FALSE)="Cerrado",IF(G664=VLOOKUP(B664,PARTIDOS!$A:$I,8,FALSE),IF(AND(E664=VLOOKUP(B664,PARTIDOS!$A:$I,6,FALSE),F664=VLOOKUP(B664,PARTIDOS!$A:$I,7,FALSE)),3,1),0),"")</f>
        <v/>
      </c>
    </row>
    <row r="665" ht="20.1" customHeight="1">
      <c r="A665" s="12" t="inlineStr">
        <is>
          <t>Jugador 10</t>
        </is>
      </c>
      <c r="B665" s="8" t="inlineStr">
        <is>
          <t>M16</t>
        </is>
      </c>
      <c r="C665" s="12" t="inlineStr">
        <is>
          <t>Perú</t>
        </is>
      </c>
      <c r="D665" s="12" t="inlineStr">
        <is>
          <t>Paraguay</t>
        </is>
      </c>
      <c r="E665" s="8" t="n"/>
      <c r="F665" s="8" t="n"/>
      <c r="G665" s="8">
        <f>IF(OR(ISBLANK(E665),ISBLANK(F665)),"",IF(E665&gt;F665,"Local",IF(E665=F665,"Empate","Visitante")))</f>
        <v/>
      </c>
      <c r="H665" s="8">
        <f>IF(VLOOKUP(B665,PARTIDOS!$A:$I,9,FALSE)="Cerrado",IF(G665=VLOOKUP(B665,PARTIDOS!$A:$I,8,FALSE),IF(AND(E665=VLOOKUP(B665,PARTIDOS!$A:$I,6,FALSE),F665=VLOOKUP(B665,PARTIDOS!$A:$I,7,FALSE)),3,1),0),"")</f>
        <v/>
      </c>
    </row>
    <row r="666" ht="20.1" customHeight="1">
      <c r="A666" s="12" t="inlineStr">
        <is>
          <t>Jugador 10</t>
        </is>
      </c>
      <c r="B666" s="8" t="inlineStr">
        <is>
          <t>M17</t>
        </is>
      </c>
      <c r="C666" s="12" t="inlineStr">
        <is>
          <t>Ecuador</t>
        </is>
      </c>
      <c r="D666" s="12" t="inlineStr">
        <is>
          <t>Paraguay</t>
        </is>
      </c>
      <c r="E666" s="8" t="n"/>
      <c r="F666" s="8" t="n"/>
      <c r="G666" s="8">
        <f>IF(OR(ISBLANK(E666),ISBLANK(F666)),"",IF(E666&gt;F666,"Local",IF(E666=F666,"Empate","Visitante")))</f>
        <v/>
      </c>
      <c r="H666" s="8">
        <f>IF(VLOOKUP(B666,PARTIDOS!$A:$I,9,FALSE)="Cerrado",IF(G666=VLOOKUP(B666,PARTIDOS!$A:$I,8,FALSE),IF(AND(E666=VLOOKUP(B666,PARTIDOS!$A:$I,6,FALSE),F666=VLOOKUP(B666,PARTIDOS!$A:$I,7,FALSE)),3,1),0),"")</f>
        <v/>
      </c>
    </row>
    <row r="667" ht="20.1" customHeight="1">
      <c r="A667" s="12" t="inlineStr">
        <is>
          <t>Jugador 10</t>
        </is>
      </c>
      <c r="B667" s="8" t="inlineStr">
        <is>
          <t>M18</t>
        </is>
      </c>
      <c r="C667" s="12" t="inlineStr">
        <is>
          <t>Perú</t>
        </is>
      </c>
      <c r="D667" s="12" t="inlineStr">
        <is>
          <t>Chile</t>
        </is>
      </c>
      <c r="E667" s="8" t="n"/>
      <c r="F667" s="8" t="n"/>
      <c r="G667" s="8">
        <f>IF(OR(ISBLANK(E667),ISBLANK(F667)),"",IF(E667&gt;F667,"Local",IF(E667=F667,"Empate","Visitante")))</f>
        <v/>
      </c>
      <c r="H667" s="8">
        <f>IF(VLOOKUP(B667,PARTIDOS!$A:$I,9,FALSE)="Cerrado",IF(G667=VLOOKUP(B667,PARTIDOS!$A:$I,8,FALSE),IF(AND(E667=VLOOKUP(B667,PARTIDOS!$A:$I,6,FALSE),F667=VLOOKUP(B667,PARTIDOS!$A:$I,7,FALSE)),3,1),0),"")</f>
        <v/>
      </c>
    </row>
    <row r="668" ht="20.1" customHeight="1">
      <c r="A668" s="12" t="inlineStr">
        <is>
          <t>Jugador 10</t>
        </is>
      </c>
      <c r="B668" s="8" t="inlineStr">
        <is>
          <t>M19</t>
        </is>
      </c>
      <c r="C668" s="12" t="inlineStr">
        <is>
          <t>España</t>
        </is>
      </c>
      <c r="D668" s="12" t="inlineStr">
        <is>
          <t>Francia</t>
        </is>
      </c>
      <c r="E668" s="8" t="n"/>
      <c r="F668" s="8" t="n"/>
      <c r="G668" s="8">
        <f>IF(OR(ISBLANK(E668),ISBLANK(F668)),"",IF(E668&gt;F668,"Local",IF(E668=F668,"Empate","Visitante")))</f>
        <v/>
      </c>
      <c r="H668" s="8">
        <f>IF(VLOOKUP(B668,PARTIDOS!$A:$I,9,FALSE)="Cerrado",IF(G668=VLOOKUP(B668,PARTIDOS!$A:$I,8,FALSE),IF(AND(E668=VLOOKUP(B668,PARTIDOS!$A:$I,6,FALSE),F668=VLOOKUP(B668,PARTIDOS!$A:$I,7,FALSE)),3,1),0),"")</f>
        <v/>
      </c>
    </row>
    <row r="669" ht="20.1" customHeight="1">
      <c r="A669" s="12" t="inlineStr">
        <is>
          <t>Jugador 10</t>
        </is>
      </c>
      <c r="B669" s="8" t="inlineStr">
        <is>
          <t>M20</t>
        </is>
      </c>
      <c r="C669" s="12" t="inlineStr">
        <is>
          <t>Inglaterra</t>
        </is>
      </c>
      <c r="D669" s="12" t="inlineStr">
        <is>
          <t>Alemania</t>
        </is>
      </c>
      <c r="E669" s="8" t="n"/>
      <c r="F669" s="8" t="n"/>
      <c r="G669" s="8">
        <f>IF(OR(ISBLANK(E669),ISBLANK(F669)),"",IF(E669&gt;F669,"Local",IF(E669=F669,"Empate","Visitante")))</f>
        <v/>
      </c>
      <c r="H669" s="8">
        <f>IF(VLOOKUP(B669,PARTIDOS!$A:$I,9,FALSE)="Cerrado",IF(G669=VLOOKUP(B669,PARTIDOS!$A:$I,8,FALSE),IF(AND(E669=VLOOKUP(B669,PARTIDOS!$A:$I,6,FALSE),F669=VLOOKUP(B669,PARTIDOS!$A:$I,7,FALSE)),3,1),0),"")</f>
        <v/>
      </c>
    </row>
    <row r="670" ht="20.1" customHeight="1">
      <c r="A670" s="12" t="inlineStr">
        <is>
          <t>Jugador 10</t>
        </is>
      </c>
      <c r="B670" s="8" t="inlineStr">
        <is>
          <t>M21</t>
        </is>
      </c>
      <c r="C670" s="12" t="inlineStr">
        <is>
          <t>España</t>
        </is>
      </c>
      <c r="D670" s="12" t="inlineStr">
        <is>
          <t>Inglaterra</t>
        </is>
      </c>
      <c r="E670" s="8" t="n"/>
      <c r="F670" s="8" t="n"/>
      <c r="G670" s="8">
        <f>IF(OR(ISBLANK(E670),ISBLANK(F670)),"",IF(E670&gt;F670,"Local",IF(E670=F670,"Empate","Visitante")))</f>
        <v/>
      </c>
      <c r="H670" s="8">
        <f>IF(VLOOKUP(B670,PARTIDOS!$A:$I,9,FALSE)="Cerrado",IF(G670=VLOOKUP(B670,PARTIDOS!$A:$I,8,FALSE),IF(AND(E670=VLOOKUP(B670,PARTIDOS!$A:$I,6,FALSE),F670=VLOOKUP(B670,PARTIDOS!$A:$I,7,FALSE)),3,1),0),"")</f>
        <v/>
      </c>
    </row>
    <row r="671" ht="20.1" customHeight="1">
      <c r="A671" s="12" t="inlineStr">
        <is>
          <t>Jugador 10</t>
        </is>
      </c>
      <c r="B671" s="8" t="inlineStr">
        <is>
          <t>M22</t>
        </is>
      </c>
      <c r="C671" s="12" t="inlineStr">
        <is>
          <t>Francia</t>
        </is>
      </c>
      <c r="D671" s="12" t="inlineStr">
        <is>
          <t>Alemania</t>
        </is>
      </c>
      <c r="E671" s="8" t="n"/>
      <c r="F671" s="8" t="n"/>
      <c r="G671" s="8">
        <f>IF(OR(ISBLANK(E671),ISBLANK(F671)),"",IF(E671&gt;F671,"Local",IF(E671=F671,"Empate","Visitante")))</f>
        <v/>
      </c>
      <c r="H671" s="8">
        <f>IF(VLOOKUP(B671,PARTIDOS!$A:$I,9,FALSE)="Cerrado",IF(G671=VLOOKUP(B671,PARTIDOS!$A:$I,8,FALSE),IF(AND(E671=VLOOKUP(B671,PARTIDOS!$A:$I,6,FALSE),F671=VLOOKUP(B671,PARTIDOS!$A:$I,7,FALSE)),3,1),0),"")</f>
        <v/>
      </c>
    </row>
    <row r="672" ht="20.1" customHeight="1">
      <c r="A672" s="12" t="inlineStr">
        <is>
          <t>Jugador 10</t>
        </is>
      </c>
      <c r="B672" s="8" t="inlineStr">
        <is>
          <t>M23</t>
        </is>
      </c>
      <c r="C672" s="12" t="inlineStr">
        <is>
          <t>España</t>
        </is>
      </c>
      <c r="D672" s="12" t="inlineStr">
        <is>
          <t>Alemania</t>
        </is>
      </c>
      <c r="E672" s="8" t="n"/>
      <c r="F672" s="8" t="n"/>
      <c r="G672" s="8">
        <f>IF(OR(ISBLANK(E672),ISBLANK(F672)),"",IF(E672&gt;F672,"Local",IF(E672=F672,"Empate","Visitante")))</f>
        <v/>
      </c>
      <c r="H672" s="8">
        <f>IF(VLOOKUP(B672,PARTIDOS!$A:$I,9,FALSE)="Cerrado",IF(G672=VLOOKUP(B672,PARTIDOS!$A:$I,8,FALSE),IF(AND(E672=VLOOKUP(B672,PARTIDOS!$A:$I,6,FALSE),F672=VLOOKUP(B672,PARTIDOS!$A:$I,7,FALSE)),3,1),0),"")</f>
        <v/>
      </c>
    </row>
    <row r="673" ht="20.1" customHeight="1">
      <c r="A673" s="12" t="inlineStr">
        <is>
          <t>Jugador 10</t>
        </is>
      </c>
      <c r="B673" s="8" t="inlineStr">
        <is>
          <t>M24</t>
        </is>
      </c>
      <c r="C673" s="12" t="inlineStr">
        <is>
          <t>Francia</t>
        </is>
      </c>
      <c r="D673" s="12" t="inlineStr">
        <is>
          <t>Inglaterra</t>
        </is>
      </c>
      <c r="E673" s="8" t="n"/>
      <c r="F673" s="8" t="n"/>
      <c r="G673" s="8">
        <f>IF(OR(ISBLANK(E673),ISBLANK(F673)),"",IF(E673&gt;F673,"Local",IF(E673=F673,"Empate","Visitante")))</f>
        <v/>
      </c>
      <c r="H673" s="8">
        <f>IF(VLOOKUP(B673,PARTIDOS!$A:$I,9,FALSE)="Cerrado",IF(G673=VLOOKUP(B673,PARTIDOS!$A:$I,8,FALSE),IF(AND(E673=VLOOKUP(B673,PARTIDOS!$A:$I,6,FALSE),F673=VLOOKUP(B673,PARTIDOS!$A:$I,7,FALSE)),3,1),0),"")</f>
        <v/>
      </c>
    </row>
    <row r="674" ht="20.1" customHeight="1">
      <c r="A674" s="12" t="inlineStr">
        <is>
          <t>Jugador 10</t>
        </is>
      </c>
      <c r="B674" s="8" t="inlineStr">
        <is>
          <t>M25</t>
        </is>
      </c>
      <c r="C674" s="12" t="inlineStr">
        <is>
          <t>Portugal</t>
        </is>
      </c>
      <c r="D674" s="12" t="inlineStr">
        <is>
          <t>Bélgica</t>
        </is>
      </c>
      <c r="E674" s="8" t="n"/>
      <c r="F674" s="8" t="n"/>
      <c r="G674" s="8">
        <f>IF(OR(ISBLANK(E674),ISBLANK(F674)),"",IF(E674&gt;F674,"Local",IF(E674=F674,"Empate","Visitante")))</f>
        <v/>
      </c>
      <c r="H674" s="8">
        <f>IF(VLOOKUP(B674,PARTIDOS!$A:$I,9,FALSE)="Cerrado",IF(G674=VLOOKUP(B674,PARTIDOS!$A:$I,8,FALSE),IF(AND(E674=VLOOKUP(B674,PARTIDOS!$A:$I,6,FALSE),F674=VLOOKUP(B674,PARTIDOS!$A:$I,7,FALSE)),3,1),0),"")</f>
        <v/>
      </c>
    </row>
    <row r="675" ht="20.1" customHeight="1">
      <c r="A675" s="12" t="inlineStr">
        <is>
          <t>Jugador 10</t>
        </is>
      </c>
      <c r="B675" s="8" t="inlineStr">
        <is>
          <t>M26</t>
        </is>
      </c>
      <c r="C675" s="12" t="inlineStr">
        <is>
          <t>Países Bajos</t>
        </is>
      </c>
      <c r="D675" s="12" t="inlineStr">
        <is>
          <t>Italia</t>
        </is>
      </c>
      <c r="E675" s="8" t="n"/>
      <c r="F675" s="8" t="n"/>
      <c r="G675" s="8">
        <f>IF(OR(ISBLANK(E675),ISBLANK(F675)),"",IF(E675&gt;F675,"Local",IF(E675=F675,"Empate","Visitante")))</f>
        <v/>
      </c>
      <c r="H675" s="8">
        <f>IF(VLOOKUP(B675,PARTIDOS!$A:$I,9,FALSE)="Cerrado",IF(G675=VLOOKUP(B675,PARTIDOS!$A:$I,8,FALSE),IF(AND(E675=VLOOKUP(B675,PARTIDOS!$A:$I,6,FALSE),F675=VLOOKUP(B675,PARTIDOS!$A:$I,7,FALSE)),3,1),0),"")</f>
        <v/>
      </c>
    </row>
    <row r="676" ht="20.1" customHeight="1">
      <c r="A676" s="12" t="inlineStr">
        <is>
          <t>Jugador 10</t>
        </is>
      </c>
      <c r="B676" s="8" t="inlineStr">
        <is>
          <t>M27</t>
        </is>
      </c>
      <c r="C676" s="12" t="inlineStr">
        <is>
          <t>Portugal</t>
        </is>
      </c>
      <c r="D676" s="12" t="inlineStr">
        <is>
          <t>Países Bajos</t>
        </is>
      </c>
      <c r="E676" s="8" t="n"/>
      <c r="F676" s="8" t="n"/>
      <c r="G676" s="8">
        <f>IF(OR(ISBLANK(E676),ISBLANK(F676)),"",IF(E676&gt;F676,"Local",IF(E676=F676,"Empate","Visitante")))</f>
        <v/>
      </c>
      <c r="H676" s="8">
        <f>IF(VLOOKUP(B676,PARTIDOS!$A:$I,9,FALSE)="Cerrado",IF(G676=VLOOKUP(B676,PARTIDOS!$A:$I,8,FALSE),IF(AND(E676=VLOOKUP(B676,PARTIDOS!$A:$I,6,FALSE),F676=VLOOKUP(B676,PARTIDOS!$A:$I,7,FALSE)),3,1),0),"")</f>
        <v/>
      </c>
    </row>
    <row r="677" ht="20.1" customHeight="1">
      <c r="A677" s="12" t="inlineStr">
        <is>
          <t>Jugador 10</t>
        </is>
      </c>
      <c r="B677" s="8" t="inlineStr">
        <is>
          <t>M28</t>
        </is>
      </c>
      <c r="C677" s="12" t="inlineStr">
        <is>
          <t>Bélgica</t>
        </is>
      </c>
      <c r="D677" s="12" t="inlineStr">
        <is>
          <t>Italia</t>
        </is>
      </c>
      <c r="E677" s="8" t="n"/>
      <c r="F677" s="8" t="n"/>
      <c r="G677" s="8">
        <f>IF(OR(ISBLANK(E677),ISBLANK(F677)),"",IF(E677&gt;F677,"Local",IF(E677=F677,"Empate","Visitante")))</f>
        <v/>
      </c>
      <c r="H677" s="8">
        <f>IF(VLOOKUP(B677,PARTIDOS!$A:$I,9,FALSE)="Cerrado",IF(G677=VLOOKUP(B677,PARTIDOS!$A:$I,8,FALSE),IF(AND(E677=VLOOKUP(B677,PARTIDOS!$A:$I,6,FALSE),F677=VLOOKUP(B677,PARTIDOS!$A:$I,7,FALSE)),3,1),0),"")</f>
        <v/>
      </c>
    </row>
    <row r="678" ht="20.1" customHeight="1">
      <c r="A678" s="12" t="inlineStr">
        <is>
          <t>Jugador 10</t>
        </is>
      </c>
      <c r="B678" s="8" t="inlineStr">
        <is>
          <t>M29</t>
        </is>
      </c>
      <c r="C678" s="12" t="inlineStr">
        <is>
          <t>Portugal</t>
        </is>
      </c>
      <c r="D678" s="12" t="inlineStr">
        <is>
          <t>Italia</t>
        </is>
      </c>
      <c r="E678" s="8" t="n"/>
      <c r="F678" s="8" t="n"/>
      <c r="G678" s="8">
        <f>IF(OR(ISBLANK(E678),ISBLANK(F678)),"",IF(E678&gt;F678,"Local",IF(E678=F678,"Empate","Visitante")))</f>
        <v/>
      </c>
      <c r="H678" s="8">
        <f>IF(VLOOKUP(B678,PARTIDOS!$A:$I,9,FALSE)="Cerrado",IF(G678=VLOOKUP(B678,PARTIDOS!$A:$I,8,FALSE),IF(AND(E678=VLOOKUP(B678,PARTIDOS!$A:$I,6,FALSE),F678=VLOOKUP(B678,PARTIDOS!$A:$I,7,FALSE)),3,1),0),"")</f>
        <v/>
      </c>
    </row>
    <row r="679" ht="20.1" customHeight="1">
      <c r="A679" s="12" t="inlineStr">
        <is>
          <t>Jugador 10</t>
        </is>
      </c>
      <c r="B679" s="8" t="inlineStr">
        <is>
          <t>M30</t>
        </is>
      </c>
      <c r="C679" s="12" t="inlineStr">
        <is>
          <t>Bélgica</t>
        </is>
      </c>
      <c r="D679" s="12" t="inlineStr">
        <is>
          <t>Países Bajos</t>
        </is>
      </c>
      <c r="E679" s="8" t="n"/>
      <c r="F679" s="8" t="n"/>
      <c r="G679" s="8">
        <f>IF(OR(ISBLANK(E679),ISBLANK(F679)),"",IF(E679&gt;F679,"Local",IF(E679=F679,"Empate","Visitante")))</f>
        <v/>
      </c>
      <c r="H679" s="8">
        <f>IF(VLOOKUP(B679,PARTIDOS!$A:$I,9,FALSE)="Cerrado",IF(G679=VLOOKUP(B679,PARTIDOS!$A:$I,8,FALSE),IF(AND(E679=VLOOKUP(B679,PARTIDOS!$A:$I,6,FALSE),F679=VLOOKUP(B679,PARTIDOS!$A:$I,7,FALSE)),3,1),0),"")</f>
        <v/>
      </c>
    </row>
    <row r="680" ht="20.1" customHeight="1">
      <c r="A680" s="12" t="inlineStr">
        <is>
          <t>Jugador 10</t>
        </is>
      </c>
      <c r="B680" s="8" t="inlineStr">
        <is>
          <t>M31</t>
        </is>
      </c>
      <c r="C680" s="12" t="inlineStr">
        <is>
          <t>Croacia</t>
        </is>
      </c>
      <c r="D680" s="12" t="inlineStr">
        <is>
          <t>Suiza</t>
        </is>
      </c>
      <c r="E680" s="8" t="n"/>
      <c r="F680" s="8" t="n"/>
      <c r="G680" s="8">
        <f>IF(OR(ISBLANK(E680),ISBLANK(F680)),"",IF(E680&gt;F680,"Local",IF(E680=F680,"Empate","Visitante")))</f>
        <v/>
      </c>
      <c r="H680" s="8">
        <f>IF(VLOOKUP(B680,PARTIDOS!$A:$I,9,FALSE)="Cerrado",IF(G680=VLOOKUP(B680,PARTIDOS!$A:$I,8,FALSE),IF(AND(E680=VLOOKUP(B680,PARTIDOS!$A:$I,6,FALSE),F680=VLOOKUP(B680,PARTIDOS!$A:$I,7,FALSE)),3,1),0),"")</f>
        <v/>
      </c>
    </row>
    <row r="681" ht="20.1" customHeight="1">
      <c r="A681" s="12" t="inlineStr">
        <is>
          <t>Jugador 10</t>
        </is>
      </c>
      <c r="B681" s="8" t="inlineStr">
        <is>
          <t>M32</t>
        </is>
      </c>
      <c r="C681" s="12" t="inlineStr">
        <is>
          <t>Dinamarca</t>
        </is>
      </c>
      <c r="D681" s="12" t="inlineStr">
        <is>
          <t>Serbia</t>
        </is>
      </c>
      <c r="E681" s="8" t="n"/>
      <c r="F681" s="8" t="n"/>
      <c r="G681" s="8">
        <f>IF(OR(ISBLANK(E681),ISBLANK(F681)),"",IF(E681&gt;F681,"Local",IF(E681=F681,"Empate","Visitante")))</f>
        <v/>
      </c>
      <c r="H681" s="8">
        <f>IF(VLOOKUP(B681,PARTIDOS!$A:$I,9,FALSE)="Cerrado",IF(G681=VLOOKUP(B681,PARTIDOS!$A:$I,8,FALSE),IF(AND(E681=VLOOKUP(B681,PARTIDOS!$A:$I,6,FALSE),F681=VLOOKUP(B681,PARTIDOS!$A:$I,7,FALSE)),3,1),0),"")</f>
        <v/>
      </c>
    </row>
    <row r="682" ht="20.1" customHeight="1">
      <c r="A682" s="12" t="inlineStr">
        <is>
          <t>Jugador 10</t>
        </is>
      </c>
      <c r="B682" s="8" t="inlineStr">
        <is>
          <t>M33</t>
        </is>
      </c>
      <c r="C682" s="12" t="inlineStr">
        <is>
          <t>Croacia</t>
        </is>
      </c>
      <c r="D682" s="12" t="inlineStr">
        <is>
          <t>Dinamarca</t>
        </is>
      </c>
      <c r="E682" s="8" t="n"/>
      <c r="F682" s="8" t="n"/>
      <c r="G682" s="8">
        <f>IF(OR(ISBLANK(E682),ISBLANK(F682)),"",IF(E682&gt;F682,"Local",IF(E682=F682,"Empate","Visitante")))</f>
        <v/>
      </c>
      <c r="H682" s="8">
        <f>IF(VLOOKUP(B682,PARTIDOS!$A:$I,9,FALSE)="Cerrado",IF(G682=VLOOKUP(B682,PARTIDOS!$A:$I,8,FALSE),IF(AND(E682=VLOOKUP(B682,PARTIDOS!$A:$I,6,FALSE),F682=VLOOKUP(B682,PARTIDOS!$A:$I,7,FALSE)),3,1),0),"")</f>
        <v/>
      </c>
    </row>
    <row r="683" ht="20.1" customHeight="1">
      <c r="A683" s="12" t="inlineStr">
        <is>
          <t>Jugador 10</t>
        </is>
      </c>
      <c r="B683" s="8" t="inlineStr">
        <is>
          <t>M34</t>
        </is>
      </c>
      <c r="C683" s="12" t="inlineStr">
        <is>
          <t>Suiza</t>
        </is>
      </c>
      <c r="D683" s="12" t="inlineStr">
        <is>
          <t>Serbia</t>
        </is>
      </c>
      <c r="E683" s="8" t="n"/>
      <c r="F683" s="8" t="n"/>
      <c r="G683" s="8">
        <f>IF(OR(ISBLANK(E683),ISBLANK(F683)),"",IF(E683&gt;F683,"Local",IF(E683=F683,"Empate","Visitante")))</f>
        <v/>
      </c>
      <c r="H683" s="8">
        <f>IF(VLOOKUP(B683,PARTIDOS!$A:$I,9,FALSE)="Cerrado",IF(G683=VLOOKUP(B683,PARTIDOS!$A:$I,8,FALSE),IF(AND(E683=VLOOKUP(B683,PARTIDOS!$A:$I,6,FALSE),F683=VLOOKUP(B683,PARTIDOS!$A:$I,7,FALSE)),3,1),0),"")</f>
        <v/>
      </c>
    </row>
    <row r="684" ht="20.1" customHeight="1">
      <c r="A684" s="12" t="inlineStr">
        <is>
          <t>Jugador 10</t>
        </is>
      </c>
      <c r="B684" s="8" t="inlineStr">
        <is>
          <t>M35</t>
        </is>
      </c>
      <c r="C684" s="12" t="inlineStr">
        <is>
          <t>Croacia</t>
        </is>
      </c>
      <c r="D684" s="12" t="inlineStr">
        <is>
          <t>Serbia</t>
        </is>
      </c>
      <c r="E684" s="8" t="n"/>
      <c r="F684" s="8" t="n"/>
      <c r="G684" s="8">
        <f>IF(OR(ISBLANK(E684),ISBLANK(F684)),"",IF(E684&gt;F684,"Local",IF(E684=F684,"Empate","Visitante")))</f>
        <v/>
      </c>
      <c r="H684" s="8">
        <f>IF(VLOOKUP(B684,PARTIDOS!$A:$I,9,FALSE)="Cerrado",IF(G684=VLOOKUP(B684,PARTIDOS!$A:$I,8,FALSE),IF(AND(E684=VLOOKUP(B684,PARTIDOS!$A:$I,6,FALSE),F684=VLOOKUP(B684,PARTIDOS!$A:$I,7,FALSE)),3,1),0),"")</f>
        <v/>
      </c>
    </row>
    <row r="685" ht="20.1" customHeight="1">
      <c r="A685" s="12" t="inlineStr">
        <is>
          <t>Jugador 10</t>
        </is>
      </c>
      <c r="B685" s="8" t="inlineStr">
        <is>
          <t>M36</t>
        </is>
      </c>
      <c r="C685" s="12" t="inlineStr">
        <is>
          <t>Suiza</t>
        </is>
      </c>
      <c r="D685" s="12" t="inlineStr">
        <is>
          <t>Dinamarca</t>
        </is>
      </c>
      <c r="E685" s="8" t="n"/>
      <c r="F685" s="8" t="n"/>
      <c r="G685" s="8">
        <f>IF(OR(ISBLANK(E685),ISBLANK(F685)),"",IF(E685&gt;F685,"Local",IF(E685=F685,"Empate","Visitante")))</f>
        <v/>
      </c>
      <c r="H685" s="8">
        <f>IF(VLOOKUP(B685,PARTIDOS!$A:$I,9,FALSE)="Cerrado",IF(G685=VLOOKUP(B685,PARTIDOS!$A:$I,8,FALSE),IF(AND(E685=VLOOKUP(B685,PARTIDOS!$A:$I,6,FALSE),F685=VLOOKUP(B685,PARTIDOS!$A:$I,7,FALSE)),3,1),0),"")</f>
        <v/>
      </c>
    </row>
    <row r="686" ht="20.1" customHeight="1">
      <c r="A686" s="12" t="inlineStr">
        <is>
          <t>Jugador 10</t>
        </is>
      </c>
      <c r="B686" s="8" t="inlineStr">
        <is>
          <t>M37</t>
        </is>
      </c>
      <c r="C686" s="12" t="inlineStr">
        <is>
          <t>Polonia</t>
        </is>
      </c>
      <c r="D686" s="12" t="inlineStr">
        <is>
          <t>Ucrania</t>
        </is>
      </c>
      <c r="E686" s="8" t="n"/>
      <c r="F686" s="8" t="n"/>
      <c r="G686" s="8">
        <f>IF(OR(ISBLANK(E686),ISBLANK(F686)),"",IF(E686&gt;F686,"Local",IF(E686=F686,"Empate","Visitante")))</f>
        <v/>
      </c>
      <c r="H686" s="8">
        <f>IF(VLOOKUP(B686,PARTIDOS!$A:$I,9,FALSE)="Cerrado",IF(G686=VLOOKUP(B686,PARTIDOS!$A:$I,8,FALSE),IF(AND(E686=VLOOKUP(B686,PARTIDOS!$A:$I,6,FALSE),F686=VLOOKUP(B686,PARTIDOS!$A:$I,7,FALSE)),3,1),0),"")</f>
        <v/>
      </c>
    </row>
    <row r="687" ht="20.1" customHeight="1">
      <c r="A687" s="12" t="inlineStr">
        <is>
          <t>Jugador 10</t>
        </is>
      </c>
      <c r="B687" s="8" t="inlineStr">
        <is>
          <t>M38</t>
        </is>
      </c>
      <c r="C687" s="12" t="inlineStr">
        <is>
          <t>Suecia</t>
        </is>
      </c>
      <c r="D687" s="12" t="inlineStr">
        <is>
          <t>Gales</t>
        </is>
      </c>
      <c r="E687" s="8" t="n"/>
      <c r="F687" s="8" t="n"/>
      <c r="G687" s="8">
        <f>IF(OR(ISBLANK(E687),ISBLANK(F687)),"",IF(E687&gt;F687,"Local",IF(E687=F687,"Empate","Visitante")))</f>
        <v/>
      </c>
      <c r="H687" s="8">
        <f>IF(VLOOKUP(B687,PARTIDOS!$A:$I,9,FALSE)="Cerrado",IF(G687=VLOOKUP(B687,PARTIDOS!$A:$I,8,FALSE),IF(AND(E687=VLOOKUP(B687,PARTIDOS!$A:$I,6,FALSE),F687=VLOOKUP(B687,PARTIDOS!$A:$I,7,FALSE)),3,1),0),"")</f>
        <v/>
      </c>
    </row>
    <row r="688" ht="20.1" customHeight="1">
      <c r="A688" s="12" t="inlineStr">
        <is>
          <t>Jugador 10</t>
        </is>
      </c>
      <c r="B688" s="8" t="inlineStr">
        <is>
          <t>M39</t>
        </is>
      </c>
      <c r="C688" s="12" t="inlineStr">
        <is>
          <t>Polonia</t>
        </is>
      </c>
      <c r="D688" s="12" t="inlineStr">
        <is>
          <t>Suecia</t>
        </is>
      </c>
      <c r="E688" s="8" t="n"/>
      <c r="F688" s="8" t="n"/>
      <c r="G688" s="8">
        <f>IF(OR(ISBLANK(E688),ISBLANK(F688)),"",IF(E688&gt;F688,"Local",IF(E688=F688,"Empate","Visitante")))</f>
        <v/>
      </c>
      <c r="H688" s="8">
        <f>IF(VLOOKUP(B688,PARTIDOS!$A:$I,9,FALSE)="Cerrado",IF(G688=VLOOKUP(B688,PARTIDOS!$A:$I,8,FALSE),IF(AND(E688=VLOOKUP(B688,PARTIDOS!$A:$I,6,FALSE),F688=VLOOKUP(B688,PARTIDOS!$A:$I,7,FALSE)),3,1),0),"")</f>
        <v/>
      </c>
    </row>
    <row r="689" ht="20.1" customHeight="1">
      <c r="A689" s="12" t="inlineStr">
        <is>
          <t>Jugador 10</t>
        </is>
      </c>
      <c r="B689" s="8" t="inlineStr">
        <is>
          <t>M40</t>
        </is>
      </c>
      <c r="C689" s="12" t="inlineStr">
        <is>
          <t>Ucrania</t>
        </is>
      </c>
      <c r="D689" s="12" t="inlineStr">
        <is>
          <t>Gales</t>
        </is>
      </c>
      <c r="E689" s="8" t="n"/>
      <c r="F689" s="8" t="n"/>
      <c r="G689" s="8">
        <f>IF(OR(ISBLANK(E689),ISBLANK(F689)),"",IF(E689&gt;F689,"Local",IF(E689=F689,"Empate","Visitante")))</f>
        <v/>
      </c>
      <c r="H689" s="8">
        <f>IF(VLOOKUP(B689,PARTIDOS!$A:$I,9,FALSE)="Cerrado",IF(G689=VLOOKUP(B689,PARTIDOS!$A:$I,8,FALSE),IF(AND(E689=VLOOKUP(B689,PARTIDOS!$A:$I,6,FALSE),F689=VLOOKUP(B689,PARTIDOS!$A:$I,7,FALSE)),3,1),0),"")</f>
        <v/>
      </c>
    </row>
    <row r="690" ht="20.1" customHeight="1">
      <c r="A690" s="12" t="inlineStr">
        <is>
          <t>Jugador 10</t>
        </is>
      </c>
      <c r="B690" s="8" t="inlineStr">
        <is>
          <t>M41</t>
        </is>
      </c>
      <c r="C690" s="12" t="inlineStr">
        <is>
          <t>Polonia</t>
        </is>
      </c>
      <c r="D690" s="12" t="inlineStr">
        <is>
          <t>Gales</t>
        </is>
      </c>
      <c r="E690" s="8" t="n"/>
      <c r="F690" s="8" t="n"/>
      <c r="G690" s="8">
        <f>IF(OR(ISBLANK(E690),ISBLANK(F690)),"",IF(E690&gt;F690,"Local",IF(E690=F690,"Empate","Visitante")))</f>
        <v/>
      </c>
      <c r="H690" s="8">
        <f>IF(VLOOKUP(B690,PARTIDOS!$A:$I,9,FALSE)="Cerrado",IF(G690=VLOOKUP(B690,PARTIDOS!$A:$I,8,FALSE),IF(AND(E690=VLOOKUP(B690,PARTIDOS!$A:$I,6,FALSE),F690=VLOOKUP(B690,PARTIDOS!$A:$I,7,FALSE)),3,1),0),"")</f>
        <v/>
      </c>
    </row>
    <row r="691" ht="20.1" customHeight="1">
      <c r="A691" s="12" t="inlineStr">
        <is>
          <t>Jugador 10</t>
        </is>
      </c>
      <c r="B691" s="8" t="inlineStr">
        <is>
          <t>M42</t>
        </is>
      </c>
      <c r="C691" s="12" t="inlineStr">
        <is>
          <t>Ucrania</t>
        </is>
      </c>
      <c r="D691" s="12" t="inlineStr">
        <is>
          <t>Suecia</t>
        </is>
      </c>
      <c r="E691" s="8" t="n"/>
      <c r="F691" s="8" t="n"/>
      <c r="G691" s="8">
        <f>IF(OR(ISBLANK(E691),ISBLANK(F691)),"",IF(E691&gt;F691,"Local",IF(E691=F691,"Empate","Visitante")))</f>
        <v/>
      </c>
      <c r="H691" s="8">
        <f>IF(VLOOKUP(B691,PARTIDOS!$A:$I,9,FALSE)="Cerrado",IF(G691=VLOOKUP(B691,PARTIDOS!$A:$I,8,FALSE),IF(AND(E691=VLOOKUP(B691,PARTIDOS!$A:$I,6,FALSE),F691=VLOOKUP(B691,PARTIDOS!$A:$I,7,FALSE)),3,1),0),"")</f>
        <v/>
      </c>
    </row>
    <row r="692" ht="20.1" customHeight="1">
      <c r="A692" s="12" t="inlineStr">
        <is>
          <t>Jugador 10</t>
        </is>
      </c>
      <c r="B692" s="8" t="inlineStr">
        <is>
          <t>M43</t>
        </is>
      </c>
      <c r="C692" s="12" t="inlineStr">
        <is>
          <t>Austria</t>
        </is>
      </c>
      <c r="D692" s="12" t="inlineStr">
        <is>
          <t>Hungría</t>
        </is>
      </c>
      <c r="E692" s="8" t="n"/>
      <c r="F692" s="8" t="n"/>
      <c r="G692" s="8">
        <f>IF(OR(ISBLANK(E692),ISBLANK(F692)),"",IF(E692&gt;F692,"Local",IF(E692=F692,"Empate","Visitante")))</f>
        <v/>
      </c>
      <c r="H692" s="8">
        <f>IF(VLOOKUP(B692,PARTIDOS!$A:$I,9,FALSE)="Cerrado",IF(G692=VLOOKUP(B692,PARTIDOS!$A:$I,8,FALSE),IF(AND(E692=VLOOKUP(B692,PARTIDOS!$A:$I,6,FALSE),F692=VLOOKUP(B692,PARTIDOS!$A:$I,7,FALSE)),3,1),0),"")</f>
        <v/>
      </c>
    </row>
    <row r="693" ht="20.1" customHeight="1">
      <c r="A693" s="12" t="inlineStr">
        <is>
          <t>Jugador 10</t>
        </is>
      </c>
      <c r="B693" s="8" t="inlineStr">
        <is>
          <t>M44</t>
        </is>
      </c>
      <c r="C693" s="12" t="inlineStr">
        <is>
          <t>Turquía</t>
        </is>
      </c>
      <c r="D693" s="12" t="inlineStr">
        <is>
          <t>Escocia</t>
        </is>
      </c>
      <c r="E693" s="8" t="n"/>
      <c r="F693" s="8" t="n"/>
      <c r="G693" s="8">
        <f>IF(OR(ISBLANK(E693),ISBLANK(F693)),"",IF(E693&gt;F693,"Local",IF(E693=F693,"Empate","Visitante")))</f>
        <v/>
      </c>
      <c r="H693" s="8">
        <f>IF(VLOOKUP(B693,PARTIDOS!$A:$I,9,FALSE)="Cerrado",IF(G693=VLOOKUP(B693,PARTIDOS!$A:$I,8,FALSE),IF(AND(E693=VLOOKUP(B693,PARTIDOS!$A:$I,6,FALSE),F693=VLOOKUP(B693,PARTIDOS!$A:$I,7,FALSE)),3,1),0),"")</f>
        <v/>
      </c>
    </row>
    <row r="694" ht="20.1" customHeight="1">
      <c r="A694" s="12" t="inlineStr">
        <is>
          <t>Jugador 10</t>
        </is>
      </c>
      <c r="B694" s="8" t="inlineStr">
        <is>
          <t>M45</t>
        </is>
      </c>
      <c r="C694" s="12" t="inlineStr">
        <is>
          <t>Austria</t>
        </is>
      </c>
      <c r="D694" s="12" t="inlineStr">
        <is>
          <t>Turquía</t>
        </is>
      </c>
      <c r="E694" s="8" t="n"/>
      <c r="F694" s="8" t="n"/>
      <c r="G694" s="8">
        <f>IF(OR(ISBLANK(E694),ISBLANK(F694)),"",IF(E694&gt;F694,"Local",IF(E694=F694,"Empate","Visitante")))</f>
        <v/>
      </c>
      <c r="H694" s="8">
        <f>IF(VLOOKUP(B694,PARTIDOS!$A:$I,9,FALSE)="Cerrado",IF(G694=VLOOKUP(B694,PARTIDOS!$A:$I,8,FALSE),IF(AND(E694=VLOOKUP(B694,PARTIDOS!$A:$I,6,FALSE),F694=VLOOKUP(B694,PARTIDOS!$A:$I,7,FALSE)),3,1),0),"")</f>
        <v/>
      </c>
    </row>
    <row r="695" ht="20.1" customHeight="1">
      <c r="A695" s="12" t="inlineStr">
        <is>
          <t>Jugador 10</t>
        </is>
      </c>
      <c r="B695" s="8" t="inlineStr">
        <is>
          <t>M46</t>
        </is>
      </c>
      <c r="C695" s="12" t="inlineStr">
        <is>
          <t>Hungría</t>
        </is>
      </c>
      <c r="D695" s="12" t="inlineStr">
        <is>
          <t>Escocia</t>
        </is>
      </c>
      <c r="E695" s="8" t="n"/>
      <c r="F695" s="8" t="n"/>
      <c r="G695" s="8">
        <f>IF(OR(ISBLANK(E695),ISBLANK(F695)),"",IF(E695&gt;F695,"Local",IF(E695=F695,"Empate","Visitante")))</f>
        <v/>
      </c>
      <c r="H695" s="8">
        <f>IF(VLOOKUP(B695,PARTIDOS!$A:$I,9,FALSE)="Cerrado",IF(G695=VLOOKUP(B695,PARTIDOS!$A:$I,8,FALSE),IF(AND(E695=VLOOKUP(B695,PARTIDOS!$A:$I,6,FALSE),F695=VLOOKUP(B695,PARTIDOS!$A:$I,7,FALSE)),3,1),0),"")</f>
        <v/>
      </c>
    </row>
    <row r="696" ht="20.1" customHeight="1">
      <c r="A696" s="12" t="inlineStr">
        <is>
          <t>Jugador 10</t>
        </is>
      </c>
      <c r="B696" s="8" t="inlineStr">
        <is>
          <t>M47</t>
        </is>
      </c>
      <c r="C696" s="12" t="inlineStr">
        <is>
          <t>Austria</t>
        </is>
      </c>
      <c r="D696" s="12" t="inlineStr">
        <is>
          <t>Escocia</t>
        </is>
      </c>
      <c r="E696" s="8" t="n"/>
      <c r="F696" s="8" t="n"/>
      <c r="G696" s="8">
        <f>IF(OR(ISBLANK(E696),ISBLANK(F696)),"",IF(E696&gt;F696,"Local",IF(E696=F696,"Empate","Visitante")))</f>
        <v/>
      </c>
      <c r="H696" s="8">
        <f>IF(VLOOKUP(B696,PARTIDOS!$A:$I,9,FALSE)="Cerrado",IF(G696=VLOOKUP(B696,PARTIDOS!$A:$I,8,FALSE),IF(AND(E696=VLOOKUP(B696,PARTIDOS!$A:$I,6,FALSE),F696=VLOOKUP(B696,PARTIDOS!$A:$I,7,FALSE)),3,1),0),"")</f>
        <v/>
      </c>
    </row>
    <row r="697" ht="20.1" customHeight="1">
      <c r="A697" s="12" t="inlineStr">
        <is>
          <t>Jugador 10</t>
        </is>
      </c>
      <c r="B697" s="8" t="inlineStr">
        <is>
          <t>M48</t>
        </is>
      </c>
      <c r="C697" s="12" t="inlineStr">
        <is>
          <t>Hungría</t>
        </is>
      </c>
      <c r="D697" s="12" t="inlineStr">
        <is>
          <t>Turquía</t>
        </is>
      </c>
      <c r="E697" s="8" t="n"/>
      <c r="F697" s="8" t="n"/>
      <c r="G697" s="8">
        <f>IF(OR(ISBLANK(E697),ISBLANK(F697)),"",IF(E697&gt;F697,"Local",IF(E697=F697,"Empate","Visitante")))</f>
        <v/>
      </c>
      <c r="H697" s="8">
        <f>IF(VLOOKUP(B697,PARTIDOS!$A:$I,9,FALSE)="Cerrado",IF(G697=VLOOKUP(B697,PARTIDOS!$A:$I,8,FALSE),IF(AND(E697=VLOOKUP(B697,PARTIDOS!$A:$I,6,FALSE),F697=VLOOKUP(B697,PARTIDOS!$A:$I,7,FALSE)),3,1),0),"")</f>
        <v/>
      </c>
    </row>
    <row r="698" ht="20.1" customHeight="1">
      <c r="A698" s="12" t="inlineStr">
        <is>
          <t>Jugador 10</t>
        </is>
      </c>
      <c r="B698" s="8" t="inlineStr">
        <is>
          <t>M49</t>
        </is>
      </c>
      <c r="C698" s="12" t="inlineStr">
        <is>
          <t>República Checa</t>
        </is>
      </c>
      <c r="D698" s="12" t="inlineStr">
        <is>
          <t>Noruega</t>
        </is>
      </c>
      <c r="E698" s="8" t="n"/>
      <c r="F698" s="8" t="n"/>
      <c r="G698" s="8">
        <f>IF(OR(ISBLANK(E698),ISBLANK(F698)),"",IF(E698&gt;F698,"Local",IF(E698=F698,"Empate","Visitante")))</f>
        <v/>
      </c>
      <c r="H698" s="8">
        <f>IF(VLOOKUP(B698,PARTIDOS!$A:$I,9,FALSE)="Cerrado",IF(G698=VLOOKUP(B698,PARTIDOS!$A:$I,8,FALSE),IF(AND(E698=VLOOKUP(B698,PARTIDOS!$A:$I,6,FALSE),F698=VLOOKUP(B698,PARTIDOS!$A:$I,7,FALSE)),3,1),0),"")</f>
        <v/>
      </c>
    </row>
    <row r="699" ht="20.1" customHeight="1">
      <c r="A699" s="12" t="inlineStr">
        <is>
          <t>Jugador 10</t>
        </is>
      </c>
      <c r="B699" s="8" t="inlineStr">
        <is>
          <t>M50</t>
        </is>
      </c>
      <c r="C699" s="12" t="inlineStr">
        <is>
          <t>Japón</t>
        </is>
      </c>
      <c r="D699" s="12" t="inlineStr">
        <is>
          <t>Irán</t>
        </is>
      </c>
      <c r="E699" s="8" t="n"/>
      <c r="F699" s="8" t="n"/>
      <c r="G699" s="8">
        <f>IF(OR(ISBLANK(E699),ISBLANK(F699)),"",IF(E699&gt;F699,"Local",IF(E699=F699,"Empate","Visitante")))</f>
        <v/>
      </c>
      <c r="H699" s="8">
        <f>IF(VLOOKUP(B699,PARTIDOS!$A:$I,9,FALSE)="Cerrado",IF(G699=VLOOKUP(B699,PARTIDOS!$A:$I,8,FALSE),IF(AND(E699=VLOOKUP(B699,PARTIDOS!$A:$I,6,FALSE),F699=VLOOKUP(B699,PARTIDOS!$A:$I,7,FALSE)),3,1),0),"")</f>
        <v/>
      </c>
    </row>
    <row r="700" ht="20.1" customHeight="1">
      <c r="A700" s="12" t="inlineStr">
        <is>
          <t>Jugador 10</t>
        </is>
      </c>
      <c r="B700" s="8" t="inlineStr">
        <is>
          <t>M51</t>
        </is>
      </c>
      <c r="C700" s="12" t="inlineStr">
        <is>
          <t>República Checa</t>
        </is>
      </c>
      <c r="D700" s="12" t="inlineStr">
        <is>
          <t>Japón</t>
        </is>
      </c>
      <c r="E700" s="8" t="n"/>
      <c r="F700" s="8" t="n"/>
      <c r="G700" s="8">
        <f>IF(OR(ISBLANK(E700),ISBLANK(F700)),"",IF(E700&gt;F700,"Local",IF(E700=F700,"Empate","Visitante")))</f>
        <v/>
      </c>
      <c r="H700" s="8">
        <f>IF(VLOOKUP(B700,PARTIDOS!$A:$I,9,FALSE)="Cerrado",IF(G700=VLOOKUP(B700,PARTIDOS!$A:$I,8,FALSE),IF(AND(E700=VLOOKUP(B700,PARTIDOS!$A:$I,6,FALSE),F700=VLOOKUP(B700,PARTIDOS!$A:$I,7,FALSE)),3,1),0),"")</f>
        <v/>
      </c>
    </row>
    <row r="701" ht="20.1" customHeight="1">
      <c r="A701" s="12" t="inlineStr">
        <is>
          <t>Jugador 10</t>
        </is>
      </c>
      <c r="B701" s="8" t="inlineStr">
        <is>
          <t>M52</t>
        </is>
      </c>
      <c r="C701" s="12" t="inlineStr">
        <is>
          <t>Noruega</t>
        </is>
      </c>
      <c r="D701" s="12" t="inlineStr">
        <is>
          <t>Irán</t>
        </is>
      </c>
      <c r="E701" s="8" t="n"/>
      <c r="F701" s="8" t="n"/>
      <c r="G701" s="8">
        <f>IF(OR(ISBLANK(E701),ISBLANK(F701)),"",IF(E701&gt;F701,"Local",IF(E701=F701,"Empate","Visitante")))</f>
        <v/>
      </c>
      <c r="H701" s="8">
        <f>IF(VLOOKUP(B701,PARTIDOS!$A:$I,9,FALSE)="Cerrado",IF(G701=VLOOKUP(B701,PARTIDOS!$A:$I,8,FALSE),IF(AND(E701=VLOOKUP(B701,PARTIDOS!$A:$I,6,FALSE),F701=VLOOKUP(B701,PARTIDOS!$A:$I,7,FALSE)),3,1),0),"")</f>
        <v/>
      </c>
    </row>
    <row r="702" ht="20.1" customHeight="1">
      <c r="A702" s="12" t="inlineStr">
        <is>
          <t>Jugador 10</t>
        </is>
      </c>
      <c r="B702" s="8" t="inlineStr">
        <is>
          <t>M53</t>
        </is>
      </c>
      <c r="C702" s="12" t="inlineStr">
        <is>
          <t>República Checa</t>
        </is>
      </c>
      <c r="D702" s="12" t="inlineStr">
        <is>
          <t>Irán</t>
        </is>
      </c>
      <c r="E702" s="8" t="n"/>
      <c r="F702" s="8" t="n"/>
      <c r="G702" s="8">
        <f>IF(OR(ISBLANK(E702),ISBLANK(F702)),"",IF(E702&gt;F702,"Local",IF(E702=F702,"Empate","Visitante")))</f>
        <v/>
      </c>
      <c r="H702" s="8">
        <f>IF(VLOOKUP(B702,PARTIDOS!$A:$I,9,FALSE)="Cerrado",IF(G702=VLOOKUP(B702,PARTIDOS!$A:$I,8,FALSE),IF(AND(E702=VLOOKUP(B702,PARTIDOS!$A:$I,6,FALSE),F702=VLOOKUP(B702,PARTIDOS!$A:$I,7,FALSE)),3,1),0),"")</f>
        <v/>
      </c>
    </row>
    <row r="703" ht="20.1" customHeight="1">
      <c r="A703" s="12" t="inlineStr">
        <is>
          <t>Jugador 10</t>
        </is>
      </c>
      <c r="B703" s="8" t="inlineStr">
        <is>
          <t>M54</t>
        </is>
      </c>
      <c r="C703" s="12" t="inlineStr">
        <is>
          <t>Noruega</t>
        </is>
      </c>
      <c r="D703" s="12" t="inlineStr">
        <is>
          <t>Japón</t>
        </is>
      </c>
      <c r="E703" s="8" t="n"/>
      <c r="F703" s="8" t="n"/>
      <c r="G703" s="8">
        <f>IF(OR(ISBLANK(E703),ISBLANK(F703)),"",IF(E703&gt;F703,"Local",IF(E703=F703,"Empate","Visitante")))</f>
        <v/>
      </c>
      <c r="H703" s="8">
        <f>IF(VLOOKUP(B703,PARTIDOS!$A:$I,9,FALSE)="Cerrado",IF(G703=VLOOKUP(B703,PARTIDOS!$A:$I,8,FALSE),IF(AND(E703=VLOOKUP(B703,PARTIDOS!$A:$I,6,FALSE),F703=VLOOKUP(B703,PARTIDOS!$A:$I,7,FALSE)),3,1),0),"")</f>
        <v/>
      </c>
    </row>
    <row r="704" ht="20.1" customHeight="1">
      <c r="A704" s="12" t="inlineStr">
        <is>
          <t>Jugador 10</t>
        </is>
      </c>
      <c r="B704" s="8" t="inlineStr">
        <is>
          <t>M55</t>
        </is>
      </c>
      <c r="C704" s="12" t="inlineStr">
        <is>
          <t>Corea del Sur</t>
        </is>
      </c>
      <c r="D704" s="12" t="inlineStr">
        <is>
          <t>Australia</t>
        </is>
      </c>
      <c r="E704" s="8" t="n"/>
      <c r="F704" s="8" t="n"/>
      <c r="G704" s="8">
        <f>IF(OR(ISBLANK(E704),ISBLANK(F704)),"",IF(E704&gt;F704,"Local",IF(E704=F704,"Empate","Visitante")))</f>
        <v/>
      </c>
      <c r="H704" s="8">
        <f>IF(VLOOKUP(B704,PARTIDOS!$A:$I,9,FALSE)="Cerrado",IF(G704=VLOOKUP(B704,PARTIDOS!$A:$I,8,FALSE),IF(AND(E704=VLOOKUP(B704,PARTIDOS!$A:$I,6,FALSE),F704=VLOOKUP(B704,PARTIDOS!$A:$I,7,FALSE)),3,1),0),"")</f>
        <v/>
      </c>
    </row>
    <row r="705" ht="20.1" customHeight="1">
      <c r="A705" s="12" t="inlineStr">
        <is>
          <t>Jugador 10</t>
        </is>
      </c>
      <c r="B705" s="8" t="inlineStr">
        <is>
          <t>M56</t>
        </is>
      </c>
      <c r="C705" s="12" t="inlineStr">
        <is>
          <t>Marruecos</t>
        </is>
      </c>
      <c r="D705" s="12" t="inlineStr">
        <is>
          <t>Senegal</t>
        </is>
      </c>
      <c r="E705" s="8" t="n"/>
      <c r="F705" s="8" t="n"/>
      <c r="G705" s="8">
        <f>IF(OR(ISBLANK(E705),ISBLANK(F705)),"",IF(E705&gt;F705,"Local",IF(E705=F705,"Empate","Visitante")))</f>
        <v/>
      </c>
      <c r="H705" s="8">
        <f>IF(VLOOKUP(B705,PARTIDOS!$A:$I,9,FALSE)="Cerrado",IF(G705=VLOOKUP(B705,PARTIDOS!$A:$I,8,FALSE),IF(AND(E705=VLOOKUP(B705,PARTIDOS!$A:$I,6,FALSE),F705=VLOOKUP(B705,PARTIDOS!$A:$I,7,FALSE)),3,1),0),"")</f>
        <v/>
      </c>
    </row>
    <row r="706" ht="20.1" customHeight="1">
      <c r="A706" s="12" t="inlineStr">
        <is>
          <t>Jugador 10</t>
        </is>
      </c>
      <c r="B706" s="8" t="inlineStr">
        <is>
          <t>M57</t>
        </is>
      </c>
      <c r="C706" s="12" t="inlineStr">
        <is>
          <t>Corea del Sur</t>
        </is>
      </c>
      <c r="D706" s="12" t="inlineStr">
        <is>
          <t>Marruecos</t>
        </is>
      </c>
      <c r="E706" s="8" t="n"/>
      <c r="F706" s="8" t="n"/>
      <c r="G706" s="8">
        <f>IF(OR(ISBLANK(E706),ISBLANK(F706)),"",IF(E706&gt;F706,"Local",IF(E706=F706,"Empate","Visitante")))</f>
        <v/>
      </c>
      <c r="H706" s="8">
        <f>IF(VLOOKUP(B706,PARTIDOS!$A:$I,9,FALSE)="Cerrado",IF(G706=VLOOKUP(B706,PARTIDOS!$A:$I,8,FALSE),IF(AND(E706=VLOOKUP(B706,PARTIDOS!$A:$I,6,FALSE),F706=VLOOKUP(B706,PARTIDOS!$A:$I,7,FALSE)),3,1),0),"")</f>
        <v/>
      </c>
    </row>
    <row r="707" ht="20.1" customHeight="1">
      <c r="A707" s="12" t="inlineStr">
        <is>
          <t>Jugador 10</t>
        </is>
      </c>
      <c r="B707" s="8" t="inlineStr">
        <is>
          <t>M58</t>
        </is>
      </c>
      <c r="C707" s="12" t="inlineStr">
        <is>
          <t>Australia</t>
        </is>
      </c>
      <c r="D707" s="12" t="inlineStr">
        <is>
          <t>Senegal</t>
        </is>
      </c>
      <c r="E707" s="8" t="n"/>
      <c r="F707" s="8" t="n"/>
      <c r="G707" s="8">
        <f>IF(OR(ISBLANK(E707),ISBLANK(F707)),"",IF(E707&gt;F707,"Local",IF(E707=F707,"Empate","Visitante")))</f>
        <v/>
      </c>
      <c r="H707" s="8">
        <f>IF(VLOOKUP(B707,PARTIDOS!$A:$I,9,FALSE)="Cerrado",IF(G707=VLOOKUP(B707,PARTIDOS!$A:$I,8,FALSE),IF(AND(E707=VLOOKUP(B707,PARTIDOS!$A:$I,6,FALSE),F707=VLOOKUP(B707,PARTIDOS!$A:$I,7,FALSE)),3,1),0),"")</f>
        <v/>
      </c>
    </row>
    <row r="708" ht="20.1" customHeight="1">
      <c r="A708" s="12" t="inlineStr">
        <is>
          <t>Jugador 10</t>
        </is>
      </c>
      <c r="B708" s="8" t="inlineStr">
        <is>
          <t>M59</t>
        </is>
      </c>
      <c r="C708" s="12" t="inlineStr">
        <is>
          <t>Corea del Sur</t>
        </is>
      </c>
      <c r="D708" s="12" t="inlineStr">
        <is>
          <t>Senegal</t>
        </is>
      </c>
      <c r="E708" s="8" t="n"/>
      <c r="F708" s="8" t="n"/>
      <c r="G708" s="8">
        <f>IF(OR(ISBLANK(E708),ISBLANK(F708)),"",IF(E708&gt;F708,"Local",IF(E708=F708,"Empate","Visitante")))</f>
        <v/>
      </c>
      <c r="H708" s="8">
        <f>IF(VLOOKUP(B708,PARTIDOS!$A:$I,9,FALSE)="Cerrado",IF(G708=VLOOKUP(B708,PARTIDOS!$A:$I,8,FALSE),IF(AND(E708=VLOOKUP(B708,PARTIDOS!$A:$I,6,FALSE),F708=VLOOKUP(B708,PARTIDOS!$A:$I,7,FALSE)),3,1),0),"")</f>
        <v/>
      </c>
    </row>
    <row r="709" ht="20.1" customHeight="1">
      <c r="A709" s="12" t="inlineStr">
        <is>
          <t>Jugador 10</t>
        </is>
      </c>
      <c r="B709" s="8" t="inlineStr">
        <is>
          <t>M60</t>
        </is>
      </c>
      <c r="C709" s="12" t="inlineStr">
        <is>
          <t>Australia</t>
        </is>
      </c>
      <c r="D709" s="12" t="inlineStr">
        <is>
          <t>Marruecos</t>
        </is>
      </c>
      <c r="E709" s="8" t="n"/>
      <c r="F709" s="8" t="n"/>
      <c r="G709" s="8">
        <f>IF(OR(ISBLANK(E709),ISBLANK(F709)),"",IF(E709&gt;F709,"Local",IF(E709=F709,"Empate","Visitante")))</f>
        <v/>
      </c>
      <c r="H709" s="8">
        <f>IF(VLOOKUP(B709,PARTIDOS!$A:$I,9,FALSE)="Cerrado",IF(G709=VLOOKUP(B709,PARTIDOS!$A:$I,8,FALSE),IF(AND(E709=VLOOKUP(B709,PARTIDOS!$A:$I,6,FALSE),F709=VLOOKUP(B709,PARTIDOS!$A:$I,7,FALSE)),3,1),0),"")</f>
        <v/>
      </c>
    </row>
    <row r="710" ht="20.1" customHeight="1">
      <c r="A710" s="12" t="inlineStr">
        <is>
          <t>Jugador 10</t>
        </is>
      </c>
      <c r="B710" s="8" t="inlineStr">
        <is>
          <t>M61</t>
        </is>
      </c>
      <c r="C710" s="12" t="inlineStr">
        <is>
          <t>Túnez</t>
        </is>
      </c>
      <c r="D710" s="12" t="inlineStr">
        <is>
          <t>Nigeria</t>
        </is>
      </c>
      <c r="E710" s="8" t="n"/>
      <c r="F710" s="8" t="n"/>
      <c r="G710" s="8">
        <f>IF(OR(ISBLANK(E710),ISBLANK(F710)),"",IF(E710&gt;F710,"Local",IF(E710=F710,"Empate","Visitante")))</f>
        <v/>
      </c>
      <c r="H710" s="8">
        <f>IF(VLOOKUP(B710,PARTIDOS!$A:$I,9,FALSE)="Cerrado",IF(G710=VLOOKUP(B710,PARTIDOS!$A:$I,8,FALSE),IF(AND(E710=VLOOKUP(B710,PARTIDOS!$A:$I,6,FALSE),F710=VLOOKUP(B710,PARTIDOS!$A:$I,7,FALSE)),3,1),0),"")</f>
        <v/>
      </c>
    </row>
    <row r="711" ht="20.1" customHeight="1">
      <c r="A711" s="12" t="inlineStr">
        <is>
          <t>Jugador 10</t>
        </is>
      </c>
      <c r="B711" s="8" t="inlineStr">
        <is>
          <t>M62</t>
        </is>
      </c>
      <c r="C711" s="12" t="inlineStr">
        <is>
          <t>Camerún</t>
        </is>
      </c>
      <c r="D711" s="12" t="inlineStr">
        <is>
          <t>Egipto</t>
        </is>
      </c>
      <c r="E711" s="8" t="n"/>
      <c r="F711" s="8" t="n"/>
      <c r="G711" s="8">
        <f>IF(OR(ISBLANK(E711),ISBLANK(F711)),"",IF(E711&gt;F711,"Local",IF(E711=F711,"Empate","Visitante")))</f>
        <v/>
      </c>
      <c r="H711" s="8">
        <f>IF(VLOOKUP(B711,PARTIDOS!$A:$I,9,FALSE)="Cerrado",IF(G711=VLOOKUP(B711,PARTIDOS!$A:$I,8,FALSE),IF(AND(E711=VLOOKUP(B711,PARTIDOS!$A:$I,6,FALSE),F711=VLOOKUP(B711,PARTIDOS!$A:$I,7,FALSE)),3,1),0),"")</f>
        <v/>
      </c>
    </row>
    <row r="712" ht="20.1" customHeight="1">
      <c r="A712" s="12" t="inlineStr">
        <is>
          <t>Jugador 10</t>
        </is>
      </c>
      <c r="B712" s="8" t="inlineStr">
        <is>
          <t>M63</t>
        </is>
      </c>
      <c r="C712" s="12" t="inlineStr">
        <is>
          <t>Túnez</t>
        </is>
      </c>
      <c r="D712" s="12" t="inlineStr">
        <is>
          <t>Camerún</t>
        </is>
      </c>
      <c r="E712" s="8" t="n"/>
      <c r="F712" s="8" t="n"/>
      <c r="G712" s="8">
        <f>IF(OR(ISBLANK(E712),ISBLANK(F712)),"",IF(E712&gt;F712,"Local",IF(E712=F712,"Empate","Visitante")))</f>
        <v/>
      </c>
      <c r="H712" s="8">
        <f>IF(VLOOKUP(B712,PARTIDOS!$A:$I,9,FALSE)="Cerrado",IF(G712=VLOOKUP(B712,PARTIDOS!$A:$I,8,FALSE),IF(AND(E712=VLOOKUP(B712,PARTIDOS!$A:$I,6,FALSE),F712=VLOOKUP(B712,PARTIDOS!$A:$I,7,FALSE)),3,1),0),"")</f>
        <v/>
      </c>
    </row>
    <row r="713" ht="20.1" customHeight="1">
      <c r="A713" s="12" t="inlineStr">
        <is>
          <t>Jugador 10</t>
        </is>
      </c>
      <c r="B713" s="8" t="inlineStr">
        <is>
          <t>M64</t>
        </is>
      </c>
      <c r="C713" s="12" t="inlineStr">
        <is>
          <t>Nigeria</t>
        </is>
      </c>
      <c r="D713" s="12" t="inlineStr">
        <is>
          <t>Egipto</t>
        </is>
      </c>
      <c r="E713" s="8" t="n"/>
      <c r="F713" s="8" t="n"/>
      <c r="G713" s="8">
        <f>IF(OR(ISBLANK(E713),ISBLANK(F713)),"",IF(E713&gt;F713,"Local",IF(E713=F713,"Empate","Visitante")))</f>
        <v/>
      </c>
      <c r="H713" s="8">
        <f>IF(VLOOKUP(B713,PARTIDOS!$A:$I,9,FALSE)="Cerrado",IF(G713=VLOOKUP(B713,PARTIDOS!$A:$I,8,FALSE),IF(AND(E713=VLOOKUP(B713,PARTIDOS!$A:$I,6,FALSE),F713=VLOOKUP(B713,PARTIDOS!$A:$I,7,FALSE)),3,1),0),"")</f>
        <v/>
      </c>
    </row>
    <row r="714" ht="20.1" customHeight="1">
      <c r="A714" s="12" t="inlineStr">
        <is>
          <t>Jugador 10</t>
        </is>
      </c>
      <c r="B714" s="8" t="inlineStr">
        <is>
          <t>M65</t>
        </is>
      </c>
      <c r="C714" s="12" t="inlineStr">
        <is>
          <t>Túnez</t>
        </is>
      </c>
      <c r="D714" s="12" t="inlineStr">
        <is>
          <t>Egipto</t>
        </is>
      </c>
      <c r="E714" s="8" t="n"/>
      <c r="F714" s="8" t="n"/>
      <c r="G714" s="8">
        <f>IF(OR(ISBLANK(E714),ISBLANK(F714)),"",IF(E714&gt;F714,"Local",IF(E714=F714,"Empate","Visitante")))</f>
        <v/>
      </c>
      <c r="H714" s="8">
        <f>IF(VLOOKUP(B714,PARTIDOS!$A:$I,9,FALSE)="Cerrado",IF(G714=VLOOKUP(B714,PARTIDOS!$A:$I,8,FALSE),IF(AND(E714=VLOOKUP(B714,PARTIDOS!$A:$I,6,FALSE),F714=VLOOKUP(B714,PARTIDOS!$A:$I,7,FALSE)),3,1),0),"")</f>
        <v/>
      </c>
    </row>
    <row r="715" ht="20.1" customHeight="1">
      <c r="A715" s="12" t="inlineStr">
        <is>
          <t>Jugador 10</t>
        </is>
      </c>
      <c r="B715" s="8" t="inlineStr">
        <is>
          <t>M66</t>
        </is>
      </c>
      <c r="C715" s="12" t="inlineStr">
        <is>
          <t>Nigeria</t>
        </is>
      </c>
      <c r="D715" s="12" t="inlineStr">
        <is>
          <t>Camerún</t>
        </is>
      </c>
      <c r="E715" s="8" t="n"/>
      <c r="F715" s="8" t="n"/>
      <c r="G715" s="8">
        <f>IF(OR(ISBLANK(E715),ISBLANK(F715)),"",IF(E715&gt;F715,"Local",IF(E715=F715,"Empate","Visitante")))</f>
        <v/>
      </c>
      <c r="H715" s="8">
        <f>IF(VLOOKUP(B715,PARTIDOS!$A:$I,9,FALSE)="Cerrado",IF(G715=VLOOKUP(B715,PARTIDOS!$A:$I,8,FALSE),IF(AND(E715=VLOOKUP(B715,PARTIDOS!$A:$I,6,FALSE),F715=VLOOKUP(B715,PARTIDOS!$A:$I,7,FALSE)),3,1),0),"")</f>
        <v/>
      </c>
    </row>
    <row r="716" ht="20.1" customHeight="1">
      <c r="A716" s="12" t="inlineStr">
        <is>
          <t>Jugador 10</t>
        </is>
      </c>
      <c r="B716" s="8" t="inlineStr">
        <is>
          <t>M67</t>
        </is>
      </c>
      <c r="C716" s="12" t="inlineStr">
        <is>
          <t>Costa de Marfil</t>
        </is>
      </c>
      <c r="D716" s="12" t="inlineStr">
        <is>
          <t>Sudáfrica</t>
        </is>
      </c>
      <c r="E716" s="8" t="n"/>
      <c r="F716" s="8" t="n"/>
      <c r="G716" s="8">
        <f>IF(OR(ISBLANK(E716),ISBLANK(F716)),"",IF(E716&gt;F716,"Local",IF(E716=F716,"Empate","Visitante")))</f>
        <v/>
      </c>
      <c r="H716" s="8">
        <f>IF(VLOOKUP(B716,PARTIDOS!$A:$I,9,FALSE)="Cerrado",IF(G716=VLOOKUP(B716,PARTIDOS!$A:$I,8,FALSE),IF(AND(E716=VLOOKUP(B716,PARTIDOS!$A:$I,6,FALSE),F716=VLOOKUP(B716,PARTIDOS!$A:$I,7,FALSE)),3,1),0),"")</f>
        <v/>
      </c>
    </row>
    <row r="717" ht="20.1" customHeight="1">
      <c r="A717" s="12" t="inlineStr">
        <is>
          <t>Jugador 10</t>
        </is>
      </c>
      <c r="B717" s="8" t="inlineStr">
        <is>
          <t>M68</t>
        </is>
      </c>
      <c r="C717" s="12" t="inlineStr">
        <is>
          <t>Panáma</t>
        </is>
      </c>
      <c r="D717" s="12" t="inlineStr">
        <is>
          <t>Nueva Zelanda</t>
        </is>
      </c>
      <c r="E717" s="8" t="n"/>
      <c r="F717" s="8" t="n"/>
      <c r="G717" s="8">
        <f>IF(OR(ISBLANK(E717),ISBLANK(F717)),"",IF(E717&gt;F717,"Local",IF(E717=F717,"Empate","Visitante")))</f>
        <v/>
      </c>
      <c r="H717" s="8">
        <f>IF(VLOOKUP(B717,PARTIDOS!$A:$I,9,FALSE)="Cerrado",IF(G717=VLOOKUP(B717,PARTIDOS!$A:$I,8,FALSE),IF(AND(E717=VLOOKUP(B717,PARTIDOS!$A:$I,6,FALSE),F717=VLOOKUP(B717,PARTIDOS!$A:$I,7,FALSE)),3,1),0),"")</f>
        <v/>
      </c>
    </row>
    <row r="718" ht="20.1" customHeight="1">
      <c r="A718" s="12" t="inlineStr">
        <is>
          <t>Jugador 10</t>
        </is>
      </c>
      <c r="B718" s="8" t="inlineStr">
        <is>
          <t>M69</t>
        </is>
      </c>
      <c r="C718" s="12" t="inlineStr">
        <is>
          <t>Costa de Marfil</t>
        </is>
      </c>
      <c r="D718" s="12" t="inlineStr">
        <is>
          <t>Panáma</t>
        </is>
      </c>
      <c r="E718" s="8" t="n"/>
      <c r="F718" s="8" t="n"/>
      <c r="G718" s="8">
        <f>IF(OR(ISBLANK(E718),ISBLANK(F718)),"",IF(E718&gt;F718,"Local",IF(E718=F718,"Empate","Visitante")))</f>
        <v/>
      </c>
      <c r="H718" s="8">
        <f>IF(VLOOKUP(B718,PARTIDOS!$A:$I,9,FALSE)="Cerrado",IF(G718=VLOOKUP(B718,PARTIDOS!$A:$I,8,FALSE),IF(AND(E718=VLOOKUP(B718,PARTIDOS!$A:$I,6,FALSE),F718=VLOOKUP(B718,PARTIDOS!$A:$I,7,FALSE)),3,1),0),"")</f>
        <v/>
      </c>
    </row>
    <row r="719" ht="20.1" customHeight="1">
      <c r="A719" s="12" t="inlineStr">
        <is>
          <t>Jugador 10</t>
        </is>
      </c>
      <c r="B719" s="8" t="inlineStr">
        <is>
          <t>M70</t>
        </is>
      </c>
      <c r="C719" s="12" t="inlineStr">
        <is>
          <t>Sudáfrica</t>
        </is>
      </c>
      <c r="D719" s="12" t="inlineStr">
        <is>
          <t>Nueva Zelanda</t>
        </is>
      </c>
      <c r="E719" s="8" t="n"/>
      <c r="F719" s="8" t="n"/>
      <c r="G719" s="8">
        <f>IF(OR(ISBLANK(E719),ISBLANK(F719)),"",IF(E719&gt;F719,"Local",IF(E719=F719,"Empate","Visitante")))</f>
        <v/>
      </c>
      <c r="H719" s="8">
        <f>IF(VLOOKUP(B719,PARTIDOS!$A:$I,9,FALSE)="Cerrado",IF(G719=VLOOKUP(B719,PARTIDOS!$A:$I,8,FALSE),IF(AND(E719=VLOOKUP(B719,PARTIDOS!$A:$I,6,FALSE),F719=VLOOKUP(B719,PARTIDOS!$A:$I,7,FALSE)),3,1),0),"")</f>
        <v/>
      </c>
    </row>
    <row r="720" ht="20.1" customHeight="1">
      <c r="A720" s="12" t="inlineStr">
        <is>
          <t>Jugador 10</t>
        </is>
      </c>
      <c r="B720" s="8" t="inlineStr">
        <is>
          <t>M71</t>
        </is>
      </c>
      <c r="C720" s="12" t="inlineStr">
        <is>
          <t>Costa de Marfil</t>
        </is>
      </c>
      <c r="D720" s="12" t="inlineStr">
        <is>
          <t>Nueva Zelanda</t>
        </is>
      </c>
      <c r="E720" s="8" t="n"/>
      <c r="F720" s="8" t="n"/>
      <c r="G720" s="8">
        <f>IF(OR(ISBLANK(E720),ISBLANK(F720)),"",IF(E720&gt;F720,"Local",IF(E720=F720,"Empate","Visitante")))</f>
        <v/>
      </c>
      <c r="H720" s="8">
        <f>IF(VLOOKUP(B720,PARTIDOS!$A:$I,9,FALSE)="Cerrado",IF(G720=VLOOKUP(B720,PARTIDOS!$A:$I,8,FALSE),IF(AND(E720=VLOOKUP(B720,PARTIDOS!$A:$I,6,FALSE),F720=VLOOKUP(B720,PARTIDOS!$A:$I,7,FALSE)),3,1),0),"")</f>
        <v/>
      </c>
    </row>
    <row r="721" ht="20.1" customHeight="1">
      <c r="A721" s="12" t="inlineStr">
        <is>
          <t>Jugador 10</t>
        </is>
      </c>
      <c r="B721" s="8" t="inlineStr">
        <is>
          <t>M72</t>
        </is>
      </c>
      <c r="C721" s="12" t="inlineStr">
        <is>
          <t>Sudáfrica</t>
        </is>
      </c>
      <c r="D721" s="12" t="inlineStr">
        <is>
          <t>Panáma</t>
        </is>
      </c>
      <c r="E721" s="8" t="n"/>
      <c r="F721" s="8" t="n"/>
      <c r="G721" s="8">
        <f>IF(OR(ISBLANK(E721),ISBLANK(F721)),"",IF(E721&gt;F721,"Local",IF(E721=F721,"Empate","Visitante")))</f>
        <v/>
      </c>
      <c r="H721" s="8">
        <f>IF(VLOOKUP(B721,PARTIDOS!$A:$I,9,FALSE)="Cerrado",IF(G721=VLOOKUP(B721,PARTIDOS!$A:$I,8,FALSE),IF(AND(E721=VLOOKUP(B721,PARTIDOS!$A:$I,6,FALSE),F721=VLOOKUP(B721,PARTIDOS!$A:$I,7,FALSE)),3,1),0),"")</f>
        <v/>
      </c>
    </row>
    <row r="722" ht="20.1" customHeight="1">
      <c r="A722" s="12" t="inlineStr">
        <is>
          <t>Jugador 11</t>
        </is>
      </c>
      <c r="B722" s="8" t="inlineStr">
        <is>
          <t>M01</t>
        </is>
      </c>
      <c r="C722" s="12" t="inlineStr">
        <is>
          <t>México</t>
        </is>
      </c>
      <c r="D722" s="12" t="inlineStr">
        <is>
          <t>EEUU</t>
        </is>
      </c>
      <c r="E722" s="8" t="n"/>
      <c r="F722" s="8" t="n"/>
      <c r="G722" s="8">
        <f>IF(OR(ISBLANK(E722),ISBLANK(F722)),"",IF(E722&gt;F722,"Local",IF(E722=F722,"Empate","Visitante")))</f>
        <v/>
      </c>
      <c r="H722" s="8">
        <f>IF(VLOOKUP(B722,PARTIDOS!$A:$I,9,FALSE)="Cerrado",IF(G722=VLOOKUP(B722,PARTIDOS!$A:$I,8,FALSE),IF(AND(E722=VLOOKUP(B722,PARTIDOS!$A:$I,6,FALSE),F722=VLOOKUP(B722,PARTIDOS!$A:$I,7,FALSE)),3,1),0),"")</f>
        <v/>
      </c>
    </row>
    <row r="723" ht="20.1" customHeight="1">
      <c r="A723" s="12" t="inlineStr">
        <is>
          <t>Jugador 11</t>
        </is>
      </c>
      <c r="B723" s="8" t="inlineStr">
        <is>
          <t>M02</t>
        </is>
      </c>
      <c r="C723" s="12" t="inlineStr">
        <is>
          <t>Canadá</t>
        </is>
      </c>
      <c r="D723" s="12" t="inlineStr">
        <is>
          <t>Jamaica</t>
        </is>
      </c>
      <c r="E723" s="8" t="n"/>
      <c r="F723" s="8" t="n"/>
      <c r="G723" s="8">
        <f>IF(OR(ISBLANK(E723),ISBLANK(F723)),"",IF(E723&gt;F723,"Local",IF(E723=F723,"Empate","Visitante")))</f>
        <v/>
      </c>
      <c r="H723" s="8">
        <f>IF(VLOOKUP(B723,PARTIDOS!$A:$I,9,FALSE)="Cerrado",IF(G723=VLOOKUP(B723,PARTIDOS!$A:$I,8,FALSE),IF(AND(E723=VLOOKUP(B723,PARTIDOS!$A:$I,6,FALSE),F723=VLOOKUP(B723,PARTIDOS!$A:$I,7,FALSE)),3,1),0),"")</f>
        <v/>
      </c>
    </row>
    <row r="724" ht="20.1" customHeight="1">
      <c r="A724" s="12" t="inlineStr">
        <is>
          <t>Jugador 11</t>
        </is>
      </c>
      <c r="B724" s="8" t="inlineStr">
        <is>
          <t>M03</t>
        </is>
      </c>
      <c r="C724" s="12" t="inlineStr">
        <is>
          <t>México</t>
        </is>
      </c>
      <c r="D724" s="12" t="inlineStr">
        <is>
          <t>Canadá</t>
        </is>
      </c>
      <c r="E724" s="8" t="n"/>
      <c r="F724" s="8" t="n"/>
      <c r="G724" s="8">
        <f>IF(OR(ISBLANK(E724),ISBLANK(F724)),"",IF(E724&gt;F724,"Local",IF(E724=F724,"Empate","Visitante")))</f>
        <v/>
      </c>
      <c r="H724" s="8">
        <f>IF(VLOOKUP(B724,PARTIDOS!$A:$I,9,FALSE)="Cerrado",IF(G724=VLOOKUP(B724,PARTIDOS!$A:$I,8,FALSE),IF(AND(E724=VLOOKUP(B724,PARTIDOS!$A:$I,6,FALSE),F724=VLOOKUP(B724,PARTIDOS!$A:$I,7,FALSE)),3,1),0),"")</f>
        <v/>
      </c>
    </row>
    <row r="725" ht="20.1" customHeight="1">
      <c r="A725" s="12" t="inlineStr">
        <is>
          <t>Jugador 11</t>
        </is>
      </c>
      <c r="B725" s="8" t="inlineStr">
        <is>
          <t>M04</t>
        </is>
      </c>
      <c r="C725" s="12" t="inlineStr">
        <is>
          <t>EEUU</t>
        </is>
      </c>
      <c r="D725" s="12" t="inlineStr">
        <is>
          <t>Jamaica</t>
        </is>
      </c>
      <c r="E725" s="8" t="n"/>
      <c r="F725" s="8" t="n"/>
      <c r="G725" s="8">
        <f>IF(OR(ISBLANK(E725),ISBLANK(F725)),"",IF(E725&gt;F725,"Local",IF(E725=F725,"Empate","Visitante")))</f>
        <v/>
      </c>
      <c r="H725" s="8">
        <f>IF(VLOOKUP(B725,PARTIDOS!$A:$I,9,FALSE)="Cerrado",IF(G725=VLOOKUP(B725,PARTIDOS!$A:$I,8,FALSE),IF(AND(E725=VLOOKUP(B725,PARTIDOS!$A:$I,6,FALSE),F725=VLOOKUP(B725,PARTIDOS!$A:$I,7,FALSE)),3,1),0),"")</f>
        <v/>
      </c>
    </row>
    <row r="726" ht="20.1" customHeight="1">
      <c r="A726" s="12" t="inlineStr">
        <is>
          <t>Jugador 11</t>
        </is>
      </c>
      <c r="B726" s="8" t="inlineStr">
        <is>
          <t>M05</t>
        </is>
      </c>
      <c r="C726" s="12" t="inlineStr">
        <is>
          <t>México</t>
        </is>
      </c>
      <c r="D726" s="12" t="inlineStr">
        <is>
          <t>Jamaica</t>
        </is>
      </c>
      <c r="E726" s="8" t="n"/>
      <c r="F726" s="8" t="n"/>
      <c r="G726" s="8">
        <f>IF(OR(ISBLANK(E726),ISBLANK(F726)),"",IF(E726&gt;F726,"Local",IF(E726=F726,"Empate","Visitante")))</f>
        <v/>
      </c>
      <c r="H726" s="8">
        <f>IF(VLOOKUP(B726,PARTIDOS!$A:$I,9,FALSE)="Cerrado",IF(G726=VLOOKUP(B726,PARTIDOS!$A:$I,8,FALSE),IF(AND(E726=VLOOKUP(B726,PARTIDOS!$A:$I,6,FALSE),F726=VLOOKUP(B726,PARTIDOS!$A:$I,7,FALSE)),3,1),0),"")</f>
        <v/>
      </c>
    </row>
    <row r="727" ht="20.1" customHeight="1">
      <c r="A727" s="12" t="inlineStr">
        <is>
          <t>Jugador 11</t>
        </is>
      </c>
      <c r="B727" s="8" t="inlineStr">
        <is>
          <t>M06</t>
        </is>
      </c>
      <c r="C727" s="12" t="inlineStr">
        <is>
          <t>EEUU</t>
        </is>
      </c>
      <c r="D727" s="12" t="inlineStr">
        <is>
          <t>Canadá</t>
        </is>
      </c>
      <c r="E727" s="8" t="n"/>
      <c r="F727" s="8" t="n"/>
      <c r="G727" s="8">
        <f>IF(OR(ISBLANK(E727),ISBLANK(F727)),"",IF(E727&gt;F727,"Local",IF(E727=F727,"Empate","Visitante")))</f>
        <v/>
      </c>
      <c r="H727" s="8">
        <f>IF(VLOOKUP(B727,PARTIDOS!$A:$I,9,FALSE)="Cerrado",IF(G727=VLOOKUP(B727,PARTIDOS!$A:$I,8,FALSE),IF(AND(E727=VLOOKUP(B727,PARTIDOS!$A:$I,6,FALSE),F727=VLOOKUP(B727,PARTIDOS!$A:$I,7,FALSE)),3,1),0),"")</f>
        <v/>
      </c>
    </row>
    <row r="728" ht="20.1" customHeight="1">
      <c r="A728" s="12" t="inlineStr">
        <is>
          <t>Jugador 11</t>
        </is>
      </c>
      <c r="B728" s="8" t="inlineStr">
        <is>
          <t>M07</t>
        </is>
      </c>
      <c r="C728" s="12" t="inlineStr">
        <is>
          <t>Argentina</t>
        </is>
      </c>
      <c r="D728" s="12" t="inlineStr">
        <is>
          <t>Brasil</t>
        </is>
      </c>
      <c r="E728" s="8" t="n"/>
      <c r="F728" s="8" t="n"/>
      <c r="G728" s="8">
        <f>IF(OR(ISBLANK(E728),ISBLANK(F728)),"",IF(E728&gt;F728,"Local",IF(E728=F728,"Empate","Visitante")))</f>
        <v/>
      </c>
      <c r="H728" s="8">
        <f>IF(VLOOKUP(B728,PARTIDOS!$A:$I,9,FALSE)="Cerrado",IF(G728=VLOOKUP(B728,PARTIDOS!$A:$I,8,FALSE),IF(AND(E728=VLOOKUP(B728,PARTIDOS!$A:$I,6,FALSE),F728=VLOOKUP(B728,PARTIDOS!$A:$I,7,FALSE)),3,1),0),"")</f>
        <v/>
      </c>
    </row>
    <row r="729" ht="20.1" customHeight="1">
      <c r="A729" s="12" t="inlineStr">
        <is>
          <t>Jugador 11</t>
        </is>
      </c>
      <c r="B729" s="8" t="inlineStr">
        <is>
          <t>M08</t>
        </is>
      </c>
      <c r="C729" s="12" t="inlineStr">
        <is>
          <t>Colombia</t>
        </is>
      </c>
      <c r="D729" s="12" t="inlineStr">
        <is>
          <t>Uruguay</t>
        </is>
      </c>
      <c r="E729" s="8" t="n"/>
      <c r="F729" s="8" t="n"/>
      <c r="G729" s="8">
        <f>IF(OR(ISBLANK(E729),ISBLANK(F729)),"",IF(E729&gt;F729,"Local",IF(E729=F729,"Empate","Visitante")))</f>
        <v/>
      </c>
      <c r="H729" s="8">
        <f>IF(VLOOKUP(B729,PARTIDOS!$A:$I,9,FALSE)="Cerrado",IF(G729=VLOOKUP(B729,PARTIDOS!$A:$I,8,FALSE),IF(AND(E729=VLOOKUP(B729,PARTIDOS!$A:$I,6,FALSE),F729=VLOOKUP(B729,PARTIDOS!$A:$I,7,FALSE)),3,1),0),"")</f>
        <v/>
      </c>
    </row>
    <row r="730" ht="20.1" customHeight="1">
      <c r="A730" s="12" t="inlineStr">
        <is>
          <t>Jugador 11</t>
        </is>
      </c>
      <c r="B730" s="8" t="inlineStr">
        <is>
          <t>M09</t>
        </is>
      </c>
      <c r="C730" s="12" t="inlineStr">
        <is>
          <t>Argentina</t>
        </is>
      </c>
      <c r="D730" s="12" t="inlineStr">
        <is>
          <t>Colombia</t>
        </is>
      </c>
      <c r="E730" s="8" t="n"/>
      <c r="F730" s="8" t="n"/>
      <c r="G730" s="8">
        <f>IF(OR(ISBLANK(E730),ISBLANK(F730)),"",IF(E730&gt;F730,"Local",IF(E730=F730,"Empate","Visitante")))</f>
        <v/>
      </c>
      <c r="H730" s="8">
        <f>IF(VLOOKUP(B730,PARTIDOS!$A:$I,9,FALSE)="Cerrado",IF(G730=VLOOKUP(B730,PARTIDOS!$A:$I,8,FALSE),IF(AND(E730=VLOOKUP(B730,PARTIDOS!$A:$I,6,FALSE),F730=VLOOKUP(B730,PARTIDOS!$A:$I,7,FALSE)),3,1),0),"")</f>
        <v/>
      </c>
    </row>
    <row r="731" ht="20.1" customHeight="1">
      <c r="A731" s="12" t="inlineStr">
        <is>
          <t>Jugador 11</t>
        </is>
      </c>
      <c r="B731" s="8" t="inlineStr">
        <is>
          <t>M10</t>
        </is>
      </c>
      <c r="C731" s="12" t="inlineStr">
        <is>
          <t>Brasil</t>
        </is>
      </c>
      <c r="D731" s="12" t="inlineStr">
        <is>
          <t>Uruguay</t>
        </is>
      </c>
      <c r="E731" s="8" t="n"/>
      <c r="F731" s="8" t="n"/>
      <c r="G731" s="8">
        <f>IF(OR(ISBLANK(E731),ISBLANK(F731)),"",IF(E731&gt;F731,"Local",IF(E731=F731,"Empate","Visitante")))</f>
        <v/>
      </c>
      <c r="H731" s="8">
        <f>IF(VLOOKUP(B731,PARTIDOS!$A:$I,9,FALSE)="Cerrado",IF(G731=VLOOKUP(B731,PARTIDOS!$A:$I,8,FALSE),IF(AND(E731=VLOOKUP(B731,PARTIDOS!$A:$I,6,FALSE),F731=VLOOKUP(B731,PARTIDOS!$A:$I,7,FALSE)),3,1),0),"")</f>
        <v/>
      </c>
    </row>
    <row r="732" ht="20.1" customHeight="1">
      <c r="A732" s="12" t="inlineStr">
        <is>
          <t>Jugador 11</t>
        </is>
      </c>
      <c r="B732" s="8" t="inlineStr">
        <is>
          <t>M11</t>
        </is>
      </c>
      <c r="C732" s="12" t="inlineStr">
        <is>
          <t>Argentina</t>
        </is>
      </c>
      <c r="D732" s="12" t="inlineStr">
        <is>
          <t>Uruguay</t>
        </is>
      </c>
      <c r="E732" s="8" t="n"/>
      <c r="F732" s="8" t="n"/>
      <c r="G732" s="8">
        <f>IF(OR(ISBLANK(E732),ISBLANK(F732)),"",IF(E732&gt;F732,"Local",IF(E732=F732,"Empate","Visitante")))</f>
        <v/>
      </c>
      <c r="H732" s="8">
        <f>IF(VLOOKUP(B732,PARTIDOS!$A:$I,9,FALSE)="Cerrado",IF(G732=VLOOKUP(B732,PARTIDOS!$A:$I,8,FALSE),IF(AND(E732=VLOOKUP(B732,PARTIDOS!$A:$I,6,FALSE),F732=VLOOKUP(B732,PARTIDOS!$A:$I,7,FALSE)),3,1),0),"")</f>
        <v/>
      </c>
    </row>
    <row r="733" ht="20.1" customHeight="1">
      <c r="A733" s="12" t="inlineStr">
        <is>
          <t>Jugador 11</t>
        </is>
      </c>
      <c r="B733" s="8" t="inlineStr">
        <is>
          <t>M12</t>
        </is>
      </c>
      <c r="C733" s="12" t="inlineStr">
        <is>
          <t>Brasil</t>
        </is>
      </c>
      <c r="D733" s="12" t="inlineStr">
        <is>
          <t>Colombia</t>
        </is>
      </c>
      <c r="E733" s="8" t="n"/>
      <c r="F733" s="8" t="n"/>
      <c r="G733" s="8">
        <f>IF(OR(ISBLANK(E733),ISBLANK(F733)),"",IF(E733&gt;F733,"Local",IF(E733=F733,"Empate","Visitante")))</f>
        <v/>
      </c>
      <c r="H733" s="8">
        <f>IF(VLOOKUP(B733,PARTIDOS!$A:$I,9,FALSE)="Cerrado",IF(G733=VLOOKUP(B733,PARTIDOS!$A:$I,8,FALSE),IF(AND(E733=VLOOKUP(B733,PARTIDOS!$A:$I,6,FALSE),F733=VLOOKUP(B733,PARTIDOS!$A:$I,7,FALSE)),3,1),0),"")</f>
        <v/>
      </c>
    </row>
    <row r="734" ht="20.1" customHeight="1">
      <c r="A734" s="12" t="inlineStr">
        <is>
          <t>Jugador 11</t>
        </is>
      </c>
      <c r="B734" s="8" t="inlineStr">
        <is>
          <t>M13</t>
        </is>
      </c>
      <c r="C734" s="12" t="inlineStr">
        <is>
          <t>Ecuador</t>
        </is>
      </c>
      <c r="D734" s="12" t="inlineStr">
        <is>
          <t>Perú</t>
        </is>
      </c>
      <c r="E734" s="8" t="n"/>
      <c r="F734" s="8" t="n"/>
      <c r="G734" s="8">
        <f>IF(OR(ISBLANK(E734),ISBLANK(F734)),"",IF(E734&gt;F734,"Local",IF(E734=F734,"Empate","Visitante")))</f>
        <v/>
      </c>
      <c r="H734" s="8">
        <f>IF(VLOOKUP(B734,PARTIDOS!$A:$I,9,FALSE)="Cerrado",IF(G734=VLOOKUP(B734,PARTIDOS!$A:$I,8,FALSE),IF(AND(E734=VLOOKUP(B734,PARTIDOS!$A:$I,6,FALSE),F734=VLOOKUP(B734,PARTIDOS!$A:$I,7,FALSE)),3,1),0),"")</f>
        <v/>
      </c>
    </row>
    <row r="735" ht="20.1" customHeight="1">
      <c r="A735" s="12" t="inlineStr">
        <is>
          <t>Jugador 11</t>
        </is>
      </c>
      <c r="B735" s="8" t="inlineStr">
        <is>
          <t>M14</t>
        </is>
      </c>
      <c r="C735" s="12" t="inlineStr">
        <is>
          <t>Chile</t>
        </is>
      </c>
      <c r="D735" s="12" t="inlineStr">
        <is>
          <t>Paraguay</t>
        </is>
      </c>
      <c r="E735" s="8" t="n"/>
      <c r="F735" s="8" t="n"/>
      <c r="G735" s="8">
        <f>IF(OR(ISBLANK(E735),ISBLANK(F735)),"",IF(E735&gt;F735,"Local",IF(E735=F735,"Empate","Visitante")))</f>
        <v/>
      </c>
      <c r="H735" s="8">
        <f>IF(VLOOKUP(B735,PARTIDOS!$A:$I,9,FALSE)="Cerrado",IF(G735=VLOOKUP(B735,PARTIDOS!$A:$I,8,FALSE),IF(AND(E735=VLOOKUP(B735,PARTIDOS!$A:$I,6,FALSE),F735=VLOOKUP(B735,PARTIDOS!$A:$I,7,FALSE)),3,1),0),"")</f>
        <v/>
      </c>
    </row>
    <row r="736" ht="20.1" customHeight="1">
      <c r="A736" s="12" t="inlineStr">
        <is>
          <t>Jugador 11</t>
        </is>
      </c>
      <c r="B736" s="8" t="inlineStr">
        <is>
          <t>M15</t>
        </is>
      </c>
      <c r="C736" s="12" t="inlineStr">
        <is>
          <t>Ecuador</t>
        </is>
      </c>
      <c r="D736" s="12" t="inlineStr">
        <is>
          <t>Chile</t>
        </is>
      </c>
      <c r="E736" s="8" t="n"/>
      <c r="F736" s="8" t="n"/>
      <c r="G736" s="8">
        <f>IF(OR(ISBLANK(E736),ISBLANK(F736)),"",IF(E736&gt;F736,"Local",IF(E736=F736,"Empate","Visitante")))</f>
        <v/>
      </c>
      <c r="H736" s="8">
        <f>IF(VLOOKUP(B736,PARTIDOS!$A:$I,9,FALSE)="Cerrado",IF(G736=VLOOKUP(B736,PARTIDOS!$A:$I,8,FALSE),IF(AND(E736=VLOOKUP(B736,PARTIDOS!$A:$I,6,FALSE),F736=VLOOKUP(B736,PARTIDOS!$A:$I,7,FALSE)),3,1),0),"")</f>
        <v/>
      </c>
    </row>
    <row r="737" ht="20.1" customHeight="1">
      <c r="A737" s="12" t="inlineStr">
        <is>
          <t>Jugador 11</t>
        </is>
      </c>
      <c r="B737" s="8" t="inlineStr">
        <is>
          <t>M16</t>
        </is>
      </c>
      <c r="C737" s="12" t="inlineStr">
        <is>
          <t>Perú</t>
        </is>
      </c>
      <c r="D737" s="12" t="inlineStr">
        <is>
          <t>Paraguay</t>
        </is>
      </c>
      <c r="E737" s="8" t="n"/>
      <c r="F737" s="8" t="n"/>
      <c r="G737" s="8">
        <f>IF(OR(ISBLANK(E737),ISBLANK(F737)),"",IF(E737&gt;F737,"Local",IF(E737=F737,"Empate","Visitante")))</f>
        <v/>
      </c>
      <c r="H737" s="8">
        <f>IF(VLOOKUP(B737,PARTIDOS!$A:$I,9,FALSE)="Cerrado",IF(G737=VLOOKUP(B737,PARTIDOS!$A:$I,8,FALSE),IF(AND(E737=VLOOKUP(B737,PARTIDOS!$A:$I,6,FALSE),F737=VLOOKUP(B737,PARTIDOS!$A:$I,7,FALSE)),3,1),0),"")</f>
        <v/>
      </c>
    </row>
    <row r="738" ht="20.1" customHeight="1">
      <c r="A738" s="12" t="inlineStr">
        <is>
          <t>Jugador 11</t>
        </is>
      </c>
      <c r="B738" s="8" t="inlineStr">
        <is>
          <t>M17</t>
        </is>
      </c>
      <c r="C738" s="12" t="inlineStr">
        <is>
          <t>Ecuador</t>
        </is>
      </c>
      <c r="D738" s="12" t="inlineStr">
        <is>
          <t>Paraguay</t>
        </is>
      </c>
      <c r="E738" s="8" t="n"/>
      <c r="F738" s="8" t="n"/>
      <c r="G738" s="8">
        <f>IF(OR(ISBLANK(E738),ISBLANK(F738)),"",IF(E738&gt;F738,"Local",IF(E738=F738,"Empate","Visitante")))</f>
        <v/>
      </c>
      <c r="H738" s="8">
        <f>IF(VLOOKUP(B738,PARTIDOS!$A:$I,9,FALSE)="Cerrado",IF(G738=VLOOKUP(B738,PARTIDOS!$A:$I,8,FALSE),IF(AND(E738=VLOOKUP(B738,PARTIDOS!$A:$I,6,FALSE),F738=VLOOKUP(B738,PARTIDOS!$A:$I,7,FALSE)),3,1),0),"")</f>
        <v/>
      </c>
    </row>
    <row r="739" ht="20.1" customHeight="1">
      <c r="A739" s="12" t="inlineStr">
        <is>
          <t>Jugador 11</t>
        </is>
      </c>
      <c r="B739" s="8" t="inlineStr">
        <is>
          <t>M18</t>
        </is>
      </c>
      <c r="C739" s="12" t="inlineStr">
        <is>
          <t>Perú</t>
        </is>
      </c>
      <c r="D739" s="12" t="inlineStr">
        <is>
          <t>Chile</t>
        </is>
      </c>
      <c r="E739" s="8" t="n"/>
      <c r="F739" s="8" t="n"/>
      <c r="G739" s="8">
        <f>IF(OR(ISBLANK(E739),ISBLANK(F739)),"",IF(E739&gt;F739,"Local",IF(E739=F739,"Empate","Visitante")))</f>
        <v/>
      </c>
      <c r="H739" s="8">
        <f>IF(VLOOKUP(B739,PARTIDOS!$A:$I,9,FALSE)="Cerrado",IF(G739=VLOOKUP(B739,PARTIDOS!$A:$I,8,FALSE),IF(AND(E739=VLOOKUP(B739,PARTIDOS!$A:$I,6,FALSE),F739=VLOOKUP(B739,PARTIDOS!$A:$I,7,FALSE)),3,1),0),"")</f>
        <v/>
      </c>
    </row>
    <row r="740" ht="20.1" customHeight="1">
      <c r="A740" s="12" t="inlineStr">
        <is>
          <t>Jugador 11</t>
        </is>
      </c>
      <c r="B740" s="8" t="inlineStr">
        <is>
          <t>M19</t>
        </is>
      </c>
      <c r="C740" s="12" t="inlineStr">
        <is>
          <t>España</t>
        </is>
      </c>
      <c r="D740" s="12" t="inlineStr">
        <is>
          <t>Francia</t>
        </is>
      </c>
      <c r="E740" s="8" t="n"/>
      <c r="F740" s="8" t="n"/>
      <c r="G740" s="8">
        <f>IF(OR(ISBLANK(E740),ISBLANK(F740)),"",IF(E740&gt;F740,"Local",IF(E740=F740,"Empate","Visitante")))</f>
        <v/>
      </c>
      <c r="H740" s="8">
        <f>IF(VLOOKUP(B740,PARTIDOS!$A:$I,9,FALSE)="Cerrado",IF(G740=VLOOKUP(B740,PARTIDOS!$A:$I,8,FALSE),IF(AND(E740=VLOOKUP(B740,PARTIDOS!$A:$I,6,FALSE),F740=VLOOKUP(B740,PARTIDOS!$A:$I,7,FALSE)),3,1),0),"")</f>
        <v/>
      </c>
    </row>
    <row r="741" ht="20.1" customHeight="1">
      <c r="A741" s="12" t="inlineStr">
        <is>
          <t>Jugador 11</t>
        </is>
      </c>
      <c r="B741" s="8" t="inlineStr">
        <is>
          <t>M20</t>
        </is>
      </c>
      <c r="C741" s="12" t="inlineStr">
        <is>
          <t>Inglaterra</t>
        </is>
      </c>
      <c r="D741" s="12" t="inlineStr">
        <is>
          <t>Alemania</t>
        </is>
      </c>
      <c r="E741" s="8" t="n"/>
      <c r="F741" s="8" t="n"/>
      <c r="G741" s="8">
        <f>IF(OR(ISBLANK(E741),ISBLANK(F741)),"",IF(E741&gt;F741,"Local",IF(E741=F741,"Empate","Visitante")))</f>
        <v/>
      </c>
      <c r="H741" s="8">
        <f>IF(VLOOKUP(B741,PARTIDOS!$A:$I,9,FALSE)="Cerrado",IF(G741=VLOOKUP(B741,PARTIDOS!$A:$I,8,FALSE),IF(AND(E741=VLOOKUP(B741,PARTIDOS!$A:$I,6,FALSE),F741=VLOOKUP(B741,PARTIDOS!$A:$I,7,FALSE)),3,1),0),"")</f>
        <v/>
      </c>
    </row>
    <row r="742" ht="20.1" customHeight="1">
      <c r="A742" s="12" t="inlineStr">
        <is>
          <t>Jugador 11</t>
        </is>
      </c>
      <c r="B742" s="8" t="inlineStr">
        <is>
          <t>M21</t>
        </is>
      </c>
      <c r="C742" s="12" t="inlineStr">
        <is>
          <t>España</t>
        </is>
      </c>
      <c r="D742" s="12" t="inlineStr">
        <is>
          <t>Inglaterra</t>
        </is>
      </c>
      <c r="E742" s="8" t="n"/>
      <c r="F742" s="8" t="n"/>
      <c r="G742" s="8">
        <f>IF(OR(ISBLANK(E742),ISBLANK(F742)),"",IF(E742&gt;F742,"Local",IF(E742=F742,"Empate","Visitante")))</f>
        <v/>
      </c>
      <c r="H742" s="8">
        <f>IF(VLOOKUP(B742,PARTIDOS!$A:$I,9,FALSE)="Cerrado",IF(G742=VLOOKUP(B742,PARTIDOS!$A:$I,8,FALSE),IF(AND(E742=VLOOKUP(B742,PARTIDOS!$A:$I,6,FALSE),F742=VLOOKUP(B742,PARTIDOS!$A:$I,7,FALSE)),3,1),0),"")</f>
        <v/>
      </c>
    </row>
    <row r="743" ht="20.1" customHeight="1">
      <c r="A743" s="12" t="inlineStr">
        <is>
          <t>Jugador 11</t>
        </is>
      </c>
      <c r="B743" s="8" t="inlineStr">
        <is>
          <t>M22</t>
        </is>
      </c>
      <c r="C743" s="12" t="inlineStr">
        <is>
          <t>Francia</t>
        </is>
      </c>
      <c r="D743" s="12" t="inlineStr">
        <is>
          <t>Alemania</t>
        </is>
      </c>
      <c r="E743" s="8" t="n"/>
      <c r="F743" s="8" t="n"/>
      <c r="G743" s="8">
        <f>IF(OR(ISBLANK(E743),ISBLANK(F743)),"",IF(E743&gt;F743,"Local",IF(E743=F743,"Empate","Visitante")))</f>
        <v/>
      </c>
      <c r="H743" s="8">
        <f>IF(VLOOKUP(B743,PARTIDOS!$A:$I,9,FALSE)="Cerrado",IF(G743=VLOOKUP(B743,PARTIDOS!$A:$I,8,FALSE),IF(AND(E743=VLOOKUP(B743,PARTIDOS!$A:$I,6,FALSE),F743=VLOOKUP(B743,PARTIDOS!$A:$I,7,FALSE)),3,1),0),"")</f>
        <v/>
      </c>
    </row>
    <row r="744" ht="20.1" customHeight="1">
      <c r="A744" s="12" t="inlineStr">
        <is>
          <t>Jugador 11</t>
        </is>
      </c>
      <c r="B744" s="8" t="inlineStr">
        <is>
          <t>M23</t>
        </is>
      </c>
      <c r="C744" s="12" t="inlineStr">
        <is>
          <t>España</t>
        </is>
      </c>
      <c r="D744" s="12" t="inlineStr">
        <is>
          <t>Alemania</t>
        </is>
      </c>
      <c r="E744" s="8" t="n"/>
      <c r="F744" s="8" t="n"/>
      <c r="G744" s="8">
        <f>IF(OR(ISBLANK(E744),ISBLANK(F744)),"",IF(E744&gt;F744,"Local",IF(E744=F744,"Empate","Visitante")))</f>
        <v/>
      </c>
      <c r="H744" s="8">
        <f>IF(VLOOKUP(B744,PARTIDOS!$A:$I,9,FALSE)="Cerrado",IF(G744=VLOOKUP(B744,PARTIDOS!$A:$I,8,FALSE),IF(AND(E744=VLOOKUP(B744,PARTIDOS!$A:$I,6,FALSE),F744=VLOOKUP(B744,PARTIDOS!$A:$I,7,FALSE)),3,1),0),"")</f>
        <v/>
      </c>
    </row>
    <row r="745" ht="20.1" customHeight="1">
      <c r="A745" s="12" t="inlineStr">
        <is>
          <t>Jugador 11</t>
        </is>
      </c>
      <c r="B745" s="8" t="inlineStr">
        <is>
          <t>M24</t>
        </is>
      </c>
      <c r="C745" s="12" t="inlineStr">
        <is>
          <t>Francia</t>
        </is>
      </c>
      <c r="D745" s="12" t="inlineStr">
        <is>
          <t>Inglaterra</t>
        </is>
      </c>
      <c r="E745" s="8" t="n"/>
      <c r="F745" s="8" t="n"/>
      <c r="G745" s="8">
        <f>IF(OR(ISBLANK(E745),ISBLANK(F745)),"",IF(E745&gt;F745,"Local",IF(E745=F745,"Empate","Visitante")))</f>
        <v/>
      </c>
      <c r="H745" s="8">
        <f>IF(VLOOKUP(B745,PARTIDOS!$A:$I,9,FALSE)="Cerrado",IF(G745=VLOOKUP(B745,PARTIDOS!$A:$I,8,FALSE),IF(AND(E745=VLOOKUP(B745,PARTIDOS!$A:$I,6,FALSE),F745=VLOOKUP(B745,PARTIDOS!$A:$I,7,FALSE)),3,1),0),"")</f>
        <v/>
      </c>
    </row>
    <row r="746" ht="20.1" customHeight="1">
      <c r="A746" s="12" t="inlineStr">
        <is>
          <t>Jugador 11</t>
        </is>
      </c>
      <c r="B746" s="8" t="inlineStr">
        <is>
          <t>M25</t>
        </is>
      </c>
      <c r="C746" s="12" t="inlineStr">
        <is>
          <t>Portugal</t>
        </is>
      </c>
      <c r="D746" s="12" t="inlineStr">
        <is>
          <t>Bélgica</t>
        </is>
      </c>
      <c r="E746" s="8" t="n"/>
      <c r="F746" s="8" t="n"/>
      <c r="G746" s="8">
        <f>IF(OR(ISBLANK(E746),ISBLANK(F746)),"",IF(E746&gt;F746,"Local",IF(E746=F746,"Empate","Visitante")))</f>
        <v/>
      </c>
      <c r="H746" s="8">
        <f>IF(VLOOKUP(B746,PARTIDOS!$A:$I,9,FALSE)="Cerrado",IF(G746=VLOOKUP(B746,PARTIDOS!$A:$I,8,FALSE),IF(AND(E746=VLOOKUP(B746,PARTIDOS!$A:$I,6,FALSE),F746=VLOOKUP(B746,PARTIDOS!$A:$I,7,FALSE)),3,1),0),"")</f>
        <v/>
      </c>
    </row>
    <row r="747" ht="20.1" customHeight="1">
      <c r="A747" s="12" t="inlineStr">
        <is>
          <t>Jugador 11</t>
        </is>
      </c>
      <c r="B747" s="8" t="inlineStr">
        <is>
          <t>M26</t>
        </is>
      </c>
      <c r="C747" s="12" t="inlineStr">
        <is>
          <t>Países Bajos</t>
        </is>
      </c>
      <c r="D747" s="12" t="inlineStr">
        <is>
          <t>Italia</t>
        </is>
      </c>
      <c r="E747" s="8" t="n"/>
      <c r="F747" s="8" t="n"/>
      <c r="G747" s="8">
        <f>IF(OR(ISBLANK(E747),ISBLANK(F747)),"",IF(E747&gt;F747,"Local",IF(E747=F747,"Empate","Visitante")))</f>
        <v/>
      </c>
      <c r="H747" s="8">
        <f>IF(VLOOKUP(B747,PARTIDOS!$A:$I,9,FALSE)="Cerrado",IF(G747=VLOOKUP(B747,PARTIDOS!$A:$I,8,FALSE),IF(AND(E747=VLOOKUP(B747,PARTIDOS!$A:$I,6,FALSE),F747=VLOOKUP(B747,PARTIDOS!$A:$I,7,FALSE)),3,1),0),"")</f>
        <v/>
      </c>
    </row>
    <row r="748" ht="20.1" customHeight="1">
      <c r="A748" s="12" t="inlineStr">
        <is>
          <t>Jugador 11</t>
        </is>
      </c>
      <c r="B748" s="8" t="inlineStr">
        <is>
          <t>M27</t>
        </is>
      </c>
      <c r="C748" s="12" t="inlineStr">
        <is>
          <t>Portugal</t>
        </is>
      </c>
      <c r="D748" s="12" t="inlineStr">
        <is>
          <t>Países Bajos</t>
        </is>
      </c>
      <c r="E748" s="8" t="n"/>
      <c r="F748" s="8" t="n"/>
      <c r="G748" s="8">
        <f>IF(OR(ISBLANK(E748),ISBLANK(F748)),"",IF(E748&gt;F748,"Local",IF(E748=F748,"Empate","Visitante")))</f>
        <v/>
      </c>
      <c r="H748" s="8">
        <f>IF(VLOOKUP(B748,PARTIDOS!$A:$I,9,FALSE)="Cerrado",IF(G748=VLOOKUP(B748,PARTIDOS!$A:$I,8,FALSE),IF(AND(E748=VLOOKUP(B748,PARTIDOS!$A:$I,6,FALSE),F748=VLOOKUP(B748,PARTIDOS!$A:$I,7,FALSE)),3,1),0),"")</f>
        <v/>
      </c>
    </row>
    <row r="749" ht="20.1" customHeight="1">
      <c r="A749" s="12" t="inlineStr">
        <is>
          <t>Jugador 11</t>
        </is>
      </c>
      <c r="B749" s="8" t="inlineStr">
        <is>
          <t>M28</t>
        </is>
      </c>
      <c r="C749" s="12" t="inlineStr">
        <is>
          <t>Bélgica</t>
        </is>
      </c>
      <c r="D749" s="12" t="inlineStr">
        <is>
          <t>Italia</t>
        </is>
      </c>
      <c r="E749" s="8" t="n"/>
      <c r="F749" s="8" t="n"/>
      <c r="G749" s="8">
        <f>IF(OR(ISBLANK(E749),ISBLANK(F749)),"",IF(E749&gt;F749,"Local",IF(E749=F749,"Empate","Visitante")))</f>
        <v/>
      </c>
      <c r="H749" s="8">
        <f>IF(VLOOKUP(B749,PARTIDOS!$A:$I,9,FALSE)="Cerrado",IF(G749=VLOOKUP(B749,PARTIDOS!$A:$I,8,FALSE),IF(AND(E749=VLOOKUP(B749,PARTIDOS!$A:$I,6,FALSE),F749=VLOOKUP(B749,PARTIDOS!$A:$I,7,FALSE)),3,1),0),"")</f>
        <v/>
      </c>
    </row>
    <row r="750" ht="20.1" customHeight="1">
      <c r="A750" s="12" t="inlineStr">
        <is>
          <t>Jugador 11</t>
        </is>
      </c>
      <c r="B750" s="8" t="inlineStr">
        <is>
          <t>M29</t>
        </is>
      </c>
      <c r="C750" s="12" t="inlineStr">
        <is>
          <t>Portugal</t>
        </is>
      </c>
      <c r="D750" s="12" t="inlineStr">
        <is>
          <t>Italia</t>
        </is>
      </c>
      <c r="E750" s="8" t="n"/>
      <c r="F750" s="8" t="n"/>
      <c r="G750" s="8">
        <f>IF(OR(ISBLANK(E750),ISBLANK(F750)),"",IF(E750&gt;F750,"Local",IF(E750=F750,"Empate","Visitante")))</f>
        <v/>
      </c>
      <c r="H750" s="8">
        <f>IF(VLOOKUP(B750,PARTIDOS!$A:$I,9,FALSE)="Cerrado",IF(G750=VLOOKUP(B750,PARTIDOS!$A:$I,8,FALSE),IF(AND(E750=VLOOKUP(B750,PARTIDOS!$A:$I,6,FALSE),F750=VLOOKUP(B750,PARTIDOS!$A:$I,7,FALSE)),3,1),0),"")</f>
        <v/>
      </c>
    </row>
    <row r="751" ht="20.1" customHeight="1">
      <c r="A751" s="12" t="inlineStr">
        <is>
          <t>Jugador 11</t>
        </is>
      </c>
      <c r="B751" s="8" t="inlineStr">
        <is>
          <t>M30</t>
        </is>
      </c>
      <c r="C751" s="12" t="inlineStr">
        <is>
          <t>Bélgica</t>
        </is>
      </c>
      <c r="D751" s="12" t="inlineStr">
        <is>
          <t>Países Bajos</t>
        </is>
      </c>
      <c r="E751" s="8" t="n"/>
      <c r="F751" s="8" t="n"/>
      <c r="G751" s="8">
        <f>IF(OR(ISBLANK(E751),ISBLANK(F751)),"",IF(E751&gt;F751,"Local",IF(E751=F751,"Empate","Visitante")))</f>
        <v/>
      </c>
      <c r="H751" s="8">
        <f>IF(VLOOKUP(B751,PARTIDOS!$A:$I,9,FALSE)="Cerrado",IF(G751=VLOOKUP(B751,PARTIDOS!$A:$I,8,FALSE),IF(AND(E751=VLOOKUP(B751,PARTIDOS!$A:$I,6,FALSE),F751=VLOOKUP(B751,PARTIDOS!$A:$I,7,FALSE)),3,1),0),"")</f>
        <v/>
      </c>
    </row>
    <row r="752" ht="20.1" customHeight="1">
      <c r="A752" s="12" t="inlineStr">
        <is>
          <t>Jugador 11</t>
        </is>
      </c>
      <c r="B752" s="8" t="inlineStr">
        <is>
          <t>M31</t>
        </is>
      </c>
      <c r="C752" s="12" t="inlineStr">
        <is>
          <t>Croacia</t>
        </is>
      </c>
      <c r="D752" s="12" t="inlineStr">
        <is>
          <t>Suiza</t>
        </is>
      </c>
      <c r="E752" s="8" t="n"/>
      <c r="F752" s="8" t="n"/>
      <c r="G752" s="8">
        <f>IF(OR(ISBLANK(E752),ISBLANK(F752)),"",IF(E752&gt;F752,"Local",IF(E752=F752,"Empate","Visitante")))</f>
        <v/>
      </c>
      <c r="H752" s="8">
        <f>IF(VLOOKUP(B752,PARTIDOS!$A:$I,9,FALSE)="Cerrado",IF(G752=VLOOKUP(B752,PARTIDOS!$A:$I,8,FALSE),IF(AND(E752=VLOOKUP(B752,PARTIDOS!$A:$I,6,FALSE),F752=VLOOKUP(B752,PARTIDOS!$A:$I,7,FALSE)),3,1),0),"")</f>
        <v/>
      </c>
    </row>
    <row r="753" ht="20.1" customHeight="1">
      <c r="A753" s="12" t="inlineStr">
        <is>
          <t>Jugador 11</t>
        </is>
      </c>
      <c r="B753" s="8" t="inlineStr">
        <is>
          <t>M32</t>
        </is>
      </c>
      <c r="C753" s="12" t="inlineStr">
        <is>
          <t>Dinamarca</t>
        </is>
      </c>
      <c r="D753" s="12" t="inlineStr">
        <is>
          <t>Serbia</t>
        </is>
      </c>
      <c r="E753" s="8" t="n"/>
      <c r="F753" s="8" t="n"/>
      <c r="G753" s="8">
        <f>IF(OR(ISBLANK(E753),ISBLANK(F753)),"",IF(E753&gt;F753,"Local",IF(E753=F753,"Empate","Visitante")))</f>
        <v/>
      </c>
      <c r="H753" s="8">
        <f>IF(VLOOKUP(B753,PARTIDOS!$A:$I,9,FALSE)="Cerrado",IF(G753=VLOOKUP(B753,PARTIDOS!$A:$I,8,FALSE),IF(AND(E753=VLOOKUP(B753,PARTIDOS!$A:$I,6,FALSE),F753=VLOOKUP(B753,PARTIDOS!$A:$I,7,FALSE)),3,1),0),"")</f>
        <v/>
      </c>
    </row>
    <row r="754" ht="20.1" customHeight="1">
      <c r="A754" s="12" t="inlineStr">
        <is>
          <t>Jugador 11</t>
        </is>
      </c>
      <c r="B754" s="8" t="inlineStr">
        <is>
          <t>M33</t>
        </is>
      </c>
      <c r="C754" s="12" t="inlineStr">
        <is>
          <t>Croacia</t>
        </is>
      </c>
      <c r="D754" s="12" t="inlineStr">
        <is>
          <t>Dinamarca</t>
        </is>
      </c>
      <c r="E754" s="8" t="n"/>
      <c r="F754" s="8" t="n"/>
      <c r="G754" s="8">
        <f>IF(OR(ISBLANK(E754),ISBLANK(F754)),"",IF(E754&gt;F754,"Local",IF(E754=F754,"Empate","Visitante")))</f>
        <v/>
      </c>
      <c r="H754" s="8">
        <f>IF(VLOOKUP(B754,PARTIDOS!$A:$I,9,FALSE)="Cerrado",IF(G754=VLOOKUP(B754,PARTIDOS!$A:$I,8,FALSE),IF(AND(E754=VLOOKUP(B754,PARTIDOS!$A:$I,6,FALSE),F754=VLOOKUP(B754,PARTIDOS!$A:$I,7,FALSE)),3,1),0),"")</f>
        <v/>
      </c>
    </row>
    <row r="755" ht="20.1" customHeight="1">
      <c r="A755" s="12" t="inlineStr">
        <is>
          <t>Jugador 11</t>
        </is>
      </c>
      <c r="B755" s="8" t="inlineStr">
        <is>
          <t>M34</t>
        </is>
      </c>
      <c r="C755" s="12" t="inlineStr">
        <is>
          <t>Suiza</t>
        </is>
      </c>
      <c r="D755" s="12" t="inlineStr">
        <is>
          <t>Serbia</t>
        </is>
      </c>
      <c r="E755" s="8" t="n"/>
      <c r="F755" s="8" t="n"/>
      <c r="G755" s="8">
        <f>IF(OR(ISBLANK(E755),ISBLANK(F755)),"",IF(E755&gt;F755,"Local",IF(E755=F755,"Empate","Visitante")))</f>
        <v/>
      </c>
      <c r="H755" s="8">
        <f>IF(VLOOKUP(B755,PARTIDOS!$A:$I,9,FALSE)="Cerrado",IF(G755=VLOOKUP(B755,PARTIDOS!$A:$I,8,FALSE),IF(AND(E755=VLOOKUP(B755,PARTIDOS!$A:$I,6,FALSE),F755=VLOOKUP(B755,PARTIDOS!$A:$I,7,FALSE)),3,1),0),"")</f>
        <v/>
      </c>
    </row>
    <row r="756" ht="20.1" customHeight="1">
      <c r="A756" s="12" t="inlineStr">
        <is>
          <t>Jugador 11</t>
        </is>
      </c>
      <c r="B756" s="8" t="inlineStr">
        <is>
          <t>M35</t>
        </is>
      </c>
      <c r="C756" s="12" t="inlineStr">
        <is>
          <t>Croacia</t>
        </is>
      </c>
      <c r="D756" s="12" t="inlineStr">
        <is>
          <t>Serbia</t>
        </is>
      </c>
      <c r="E756" s="8" t="n"/>
      <c r="F756" s="8" t="n"/>
      <c r="G756" s="8">
        <f>IF(OR(ISBLANK(E756),ISBLANK(F756)),"",IF(E756&gt;F756,"Local",IF(E756=F756,"Empate","Visitante")))</f>
        <v/>
      </c>
      <c r="H756" s="8">
        <f>IF(VLOOKUP(B756,PARTIDOS!$A:$I,9,FALSE)="Cerrado",IF(G756=VLOOKUP(B756,PARTIDOS!$A:$I,8,FALSE),IF(AND(E756=VLOOKUP(B756,PARTIDOS!$A:$I,6,FALSE),F756=VLOOKUP(B756,PARTIDOS!$A:$I,7,FALSE)),3,1),0),"")</f>
        <v/>
      </c>
    </row>
    <row r="757" ht="20.1" customHeight="1">
      <c r="A757" s="12" t="inlineStr">
        <is>
          <t>Jugador 11</t>
        </is>
      </c>
      <c r="B757" s="8" t="inlineStr">
        <is>
          <t>M36</t>
        </is>
      </c>
      <c r="C757" s="12" t="inlineStr">
        <is>
          <t>Suiza</t>
        </is>
      </c>
      <c r="D757" s="12" t="inlineStr">
        <is>
          <t>Dinamarca</t>
        </is>
      </c>
      <c r="E757" s="8" t="n"/>
      <c r="F757" s="8" t="n"/>
      <c r="G757" s="8">
        <f>IF(OR(ISBLANK(E757),ISBLANK(F757)),"",IF(E757&gt;F757,"Local",IF(E757=F757,"Empate","Visitante")))</f>
        <v/>
      </c>
      <c r="H757" s="8">
        <f>IF(VLOOKUP(B757,PARTIDOS!$A:$I,9,FALSE)="Cerrado",IF(G757=VLOOKUP(B757,PARTIDOS!$A:$I,8,FALSE),IF(AND(E757=VLOOKUP(B757,PARTIDOS!$A:$I,6,FALSE),F757=VLOOKUP(B757,PARTIDOS!$A:$I,7,FALSE)),3,1),0),"")</f>
        <v/>
      </c>
    </row>
    <row r="758" ht="20.1" customHeight="1">
      <c r="A758" s="12" t="inlineStr">
        <is>
          <t>Jugador 11</t>
        </is>
      </c>
      <c r="B758" s="8" t="inlineStr">
        <is>
          <t>M37</t>
        </is>
      </c>
      <c r="C758" s="12" t="inlineStr">
        <is>
          <t>Polonia</t>
        </is>
      </c>
      <c r="D758" s="12" t="inlineStr">
        <is>
          <t>Ucrania</t>
        </is>
      </c>
      <c r="E758" s="8" t="n"/>
      <c r="F758" s="8" t="n"/>
      <c r="G758" s="8">
        <f>IF(OR(ISBLANK(E758),ISBLANK(F758)),"",IF(E758&gt;F758,"Local",IF(E758=F758,"Empate","Visitante")))</f>
        <v/>
      </c>
      <c r="H758" s="8">
        <f>IF(VLOOKUP(B758,PARTIDOS!$A:$I,9,FALSE)="Cerrado",IF(G758=VLOOKUP(B758,PARTIDOS!$A:$I,8,FALSE),IF(AND(E758=VLOOKUP(B758,PARTIDOS!$A:$I,6,FALSE),F758=VLOOKUP(B758,PARTIDOS!$A:$I,7,FALSE)),3,1),0),"")</f>
        <v/>
      </c>
    </row>
    <row r="759" ht="20.1" customHeight="1">
      <c r="A759" s="12" t="inlineStr">
        <is>
          <t>Jugador 11</t>
        </is>
      </c>
      <c r="B759" s="8" t="inlineStr">
        <is>
          <t>M38</t>
        </is>
      </c>
      <c r="C759" s="12" t="inlineStr">
        <is>
          <t>Suecia</t>
        </is>
      </c>
      <c r="D759" s="12" t="inlineStr">
        <is>
          <t>Gales</t>
        </is>
      </c>
      <c r="E759" s="8" t="n"/>
      <c r="F759" s="8" t="n"/>
      <c r="G759" s="8">
        <f>IF(OR(ISBLANK(E759),ISBLANK(F759)),"",IF(E759&gt;F759,"Local",IF(E759=F759,"Empate","Visitante")))</f>
        <v/>
      </c>
      <c r="H759" s="8">
        <f>IF(VLOOKUP(B759,PARTIDOS!$A:$I,9,FALSE)="Cerrado",IF(G759=VLOOKUP(B759,PARTIDOS!$A:$I,8,FALSE),IF(AND(E759=VLOOKUP(B759,PARTIDOS!$A:$I,6,FALSE),F759=VLOOKUP(B759,PARTIDOS!$A:$I,7,FALSE)),3,1),0),"")</f>
        <v/>
      </c>
    </row>
    <row r="760" ht="20.1" customHeight="1">
      <c r="A760" s="12" t="inlineStr">
        <is>
          <t>Jugador 11</t>
        </is>
      </c>
      <c r="B760" s="8" t="inlineStr">
        <is>
          <t>M39</t>
        </is>
      </c>
      <c r="C760" s="12" t="inlineStr">
        <is>
          <t>Polonia</t>
        </is>
      </c>
      <c r="D760" s="12" t="inlineStr">
        <is>
          <t>Suecia</t>
        </is>
      </c>
      <c r="E760" s="8" t="n"/>
      <c r="F760" s="8" t="n"/>
      <c r="G760" s="8">
        <f>IF(OR(ISBLANK(E760),ISBLANK(F760)),"",IF(E760&gt;F760,"Local",IF(E760=F760,"Empate","Visitante")))</f>
        <v/>
      </c>
      <c r="H760" s="8">
        <f>IF(VLOOKUP(B760,PARTIDOS!$A:$I,9,FALSE)="Cerrado",IF(G760=VLOOKUP(B760,PARTIDOS!$A:$I,8,FALSE),IF(AND(E760=VLOOKUP(B760,PARTIDOS!$A:$I,6,FALSE),F760=VLOOKUP(B760,PARTIDOS!$A:$I,7,FALSE)),3,1),0),"")</f>
        <v/>
      </c>
    </row>
    <row r="761" ht="20.1" customHeight="1">
      <c r="A761" s="12" t="inlineStr">
        <is>
          <t>Jugador 11</t>
        </is>
      </c>
      <c r="B761" s="8" t="inlineStr">
        <is>
          <t>M40</t>
        </is>
      </c>
      <c r="C761" s="12" t="inlineStr">
        <is>
          <t>Ucrania</t>
        </is>
      </c>
      <c r="D761" s="12" t="inlineStr">
        <is>
          <t>Gales</t>
        </is>
      </c>
      <c r="E761" s="8" t="n"/>
      <c r="F761" s="8" t="n"/>
      <c r="G761" s="8">
        <f>IF(OR(ISBLANK(E761),ISBLANK(F761)),"",IF(E761&gt;F761,"Local",IF(E761=F761,"Empate","Visitante")))</f>
        <v/>
      </c>
      <c r="H761" s="8">
        <f>IF(VLOOKUP(B761,PARTIDOS!$A:$I,9,FALSE)="Cerrado",IF(G761=VLOOKUP(B761,PARTIDOS!$A:$I,8,FALSE),IF(AND(E761=VLOOKUP(B761,PARTIDOS!$A:$I,6,FALSE),F761=VLOOKUP(B761,PARTIDOS!$A:$I,7,FALSE)),3,1),0),"")</f>
        <v/>
      </c>
    </row>
    <row r="762" ht="20.1" customHeight="1">
      <c r="A762" s="12" t="inlineStr">
        <is>
          <t>Jugador 11</t>
        </is>
      </c>
      <c r="B762" s="8" t="inlineStr">
        <is>
          <t>M41</t>
        </is>
      </c>
      <c r="C762" s="12" t="inlineStr">
        <is>
          <t>Polonia</t>
        </is>
      </c>
      <c r="D762" s="12" t="inlineStr">
        <is>
          <t>Gales</t>
        </is>
      </c>
      <c r="E762" s="8" t="n"/>
      <c r="F762" s="8" t="n"/>
      <c r="G762" s="8">
        <f>IF(OR(ISBLANK(E762),ISBLANK(F762)),"",IF(E762&gt;F762,"Local",IF(E762=F762,"Empate","Visitante")))</f>
        <v/>
      </c>
      <c r="H762" s="8">
        <f>IF(VLOOKUP(B762,PARTIDOS!$A:$I,9,FALSE)="Cerrado",IF(G762=VLOOKUP(B762,PARTIDOS!$A:$I,8,FALSE),IF(AND(E762=VLOOKUP(B762,PARTIDOS!$A:$I,6,FALSE),F762=VLOOKUP(B762,PARTIDOS!$A:$I,7,FALSE)),3,1),0),"")</f>
        <v/>
      </c>
    </row>
    <row r="763" ht="20.1" customHeight="1">
      <c r="A763" s="12" t="inlineStr">
        <is>
          <t>Jugador 11</t>
        </is>
      </c>
      <c r="B763" s="8" t="inlineStr">
        <is>
          <t>M42</t>
        </is>
      </c>
      <c r="C763" s="12" t="inlineStr">
        <is>
          <t>Ucrania</t>
        </is>
      </c>
      <c r="D763" s="12" t="inlineStr">
        <is>
          <t>Suecia</t>
        </is>
      </c>
      <c r="E763" s="8" t="n"/>
      <c r="F763" s="8" t="n"/>
      <c r="G763" s="8">
        <f>IF(OR(ISBLANK(E763),ISBLANK(F763)),"",IF(E763&gt;F763,"Local",IF(E763=F763,"Empate","Visitante")))</f>
        <v/>
      </c>
      <c r="H763" s="8">
        <f>IF(VLOOKUP(B763,PARTIDOS!$A:$I,9,FALSE)="Cerrado",IF(G763=VLOOKUP(B763,PARTIDOS!$A:$I,8,FALSE),IF(AND(E763=VLOOKUP(B763,PARTIDOS!$A:$I,6,FALSE),F763=VLOOKUP(B763,PARTIDOS!$A:$I,7,FALSE)),3,1),0),"")</f>
        <v/>
      </c>
    </row>
    <row r="764" ht="20.1" customHeight="1">
      <c r="A764" s="12" t="inlineStr">
        <is>
          <t>Jugador 11</t>
        </is>
      </c>
      <c r="B764" s="8" t="inlineStr">
        <is>
          <t>M43</t>
        </is>
      </c>
      <c r="C764" s="12" t="inlineStr">
        <is>
          <t>Austria</t>
        </is>
      </c>
      <c r="D764" s="12" t="inlineStr">
        <is>
          <t>Hungría</t>
        </is>
      </c>
      <c r="E764" s="8" t="n"/>
      <c r="F764" s="8" t="n"/>
      <c r="G764" s="8">
        <f>IF(OR(ISBLANK(E764),ISBLANK(F764)),"",IF(E764&gt;F764,"Local",IF(E764=F764,"Empate","Visitante")))</f>
        <v/>
      </c>
      <c r="H764" s="8">
        <f>IF(VLOOKUP(B764,PARTIDOS!$A:$I,9,FALSE)="Cerrado",IF(G764=VLOOKUP(B764,PARTIDOS!$A:$I,8,FALSE),IF(AND(E764=VLOOKUP(B764,PARTIDOS!$A:$I,6,FALSE),F764=VLOOKUP(B764,PARTIDOS!$A:$I,7,FALSE)),3,1),0),"")</f>
        <v/>
      </c>
    </row>
    <row r="765" ht="20.1" customHeight="1">
      <c r="A765" s="12" t="inlineStr">
        <is>
          <t>Jugador 11</t>
        </is>
      </c>
      <c r="B765" s="8" t="inlineStr">
        <is>
          <t>M44</t>
        </is>
      </c>
      <c r="C765" s="12" t="inlineStr">
        <is>
          <t>Turquía</t>
        </is>
      </c>
      <c r="D765" s="12" t="inlineStr">
        <is>
          <t>Escocia</t>
        </is>
      </c>
      <c r="E765" s="8" t="n"/>
      <c r="F765" s="8" t="n"/>
      <c r="G765" s="8">
        <f>IF(OR(ISBLANK(E765),ISBLANK(F765)),"",IF(E765&gt;F765,"Local",IF(E765=F765,"Empate","Visitante")))</f>
        <v/>
      </c>
      <c r="H765" s="8">
        <f>IF(VLOOKUP(B765,PARTIDOS!$A:$I,9,FALSE)="Cerrado",IF(G765=VLOOKUP(B765,PARTIDOS!$A:$I,8,FALSE),IF(AND(E765=VLOOKUP(B765,PARTIDOS!$A:$I,6,FALSE),F765=VLOOKUP(B765,PARTIDOS!$A:$I,7,FALSE)),3,1),0),"")</f>
        <v/>
      </c>
    </row>
    <row r="766" ht="20.1" customHeight="1">
      <c r="A766" s="12" t="inlineStr">
        <is>
          <t>Jugador 11</t>
        </is>
      </c>
      <c r="B766" s="8" t="inlineStr">
        <is>
          <t>M45</t>
        </is>
      </c>
      <c r="C766" s="12" t="inlineStr">
        <is>
          <t>Austria</t>
        </is>
      </c>
      <c r="D766" s="12" t="inlineStr">
        <is>
          <t>Turquía</t>
        </is>
      </c>
      <c r="E766" s="8" t="n"/>
      <c r="F766" s="8" t="n"/>
      <c r="G766" s="8">
        <f>IF(OR(ISBLANK(E766),ISBLANK(F766)),"",IF(E766&gt;F766,"Local",IF(E766=F766,"Empate","Visitante")))</f>
        <v/>
      </c>
      <c r="H766" s="8">
        <f>IF(VLOOKUP(B766,PARTIDOS!$A:$I,9,FALSE)="Cerrado",IF(G766=VLOOKUP(B766,PARTIDOS!$A:$I,8,FALSE),IF(AND(E766=VLOOKUP(B766,PARTIDOS!$A:$I,6,FALSE),F766=VLOOKUP(B766,PARTIDOS!$A:$I,7,FALSE)),3,1),0),"")</f>
        <v/>
      </c>
    </row>
    <row r="767" ht="20.1" customHeight="1">
      <c r="A767" s="12" t="inlineStr">
        <is>
          <t>Jugador 11</t>
        </is>
      </c>
      <c r="B767" s="8" t="inlineStr">
        <is>
          <t>M46</t>
        </is>
      </c>
      <c r="C767" s="12" t="inlineStr">
        <is>
          <t>Hungría</t>
        </is>
      </c>
      <c r="D767" s="12" t="inlineStr">
        <is>
          <t>Escocia</t>
        </is>
      </c>
      <c r="E767" s="8" t="n"/>
      <c r="F767" s="8" t="n"/>
      <c r="G767" s="8">
        <f>IF(OR(ISBLANK(E767),ISBLANK(F767)),"",IF(E767&gt;F767,"Local",IF(E767=F767,"Empate","Visitante")))</f>
        <v/>
      </c>
      <c r="H767" s="8">
        <f>IF(VLOOKUP(B767,PARTIDOS!$A:$I,9,FALSE)="Cerrado",IF(G767=VLOOKUP(B767,PARTIDOS!$A:$I,8,FALSE),IF(AND(E767=VLOOKUP(B767,PARTIDOS!$A:$I,6,FALSE),F767=VLOOKUP(B767,PARTIDOS!$A:$I,7,FALSE)),3,1),0),"")</f>
        <v/>
      </c>
    </row>
    <row r="768" ht="20.1" customHeight="1">
      <c r="A768" s="12" t="inlineStr">
        <is>
          <t>Jugador 11</t>
        </is>
      </c>
      <c r="B768" s="8" t="inlineStr">
        <is>
          <t>M47</t>
        </is>
      </c>
      <c r="C768" s="12" t="inlineStr">
        <is>
          <t>Austria</t>
        </is>
      </c>
      <c r="D768" s="12" t="inlineStr">
        <is>
          <t>Escocia</t>
        </is>
      </c>
      <c r="E768" s="8" t="n"/>
      <c r="F768" s="8" t="n"/>
      <c r="G768" s="8">
        <f>IF(OR(ISBLANK(E768),ISBLANK(F768)),"",IF(E768&gt;F768,"Local",IF(E768=F768,"Empate","Visitante")))</f>
        <v/>
      </c>
      <c r="H768" s="8">
        <f>IF(VLOOKUP(B768,PARTIDOS!$A:$I,9,FALSE)="Cerrado",IF(G768=VLOOKUP(B768,PARTIDOS!$A:$I,8,FALSE),IF(AND(E768=VLOOKUP(B768,PARTIDOS!$A:$I,6,FALSE),F768=VLOOKUP(B768,PARTIDOS!$A:$I,7,FALSE)),3,1),0),"")</f>
        <v/>
      </c>
    </row>
    <row r="769" ht="20.1" customHeight="1">
      <c r="A769" s="12" t="inlineStr">
        <is>
          <t>Jugador 11</t>
        </is>
      </c>
      <c r="B769" s="8" t="inlineStr">
        <is>
          <t>M48</t>
        </is>
      </c>
      <c r="C769" s="12" t="inlineStr">
        <is>
          <t>Hungría</t>
        </is>
      </c>
      <c r="D769" s="12" t="inlineStr">
        <is>
          <t>Turquía</t>
        </is>
      </c>
      <c r="E769" s="8" t="n"/>
      <c r="F769" s="8" t="n"/>
      <c r="G769" s="8">
        <f>IF(OR(ISBLANK(E769),ISBLANK(F769)),"",IF(E769&gt;F769,"Local",IF(E769=F769,"Empate","Visitante")))</f>
        <v/>
      </c>
      <c r="H769" s="8">
        <f>IF(VLOOKUP(B769,PARTIDOS!$A:$I,9,FALSE)="Cerrado",IF(G769=VLOOKUP(B769,PARTIDOS!$A:$I,8,FALSE),IF(AND(E769=VLOOKUP(B769,PARTIDOS!$A:$I,6,FALSE),F769=VLOOKUP(B769,PARTIDOS!$A:$I,7,FALSE)),3,1),0),"")</f>
        <v/>
      </c>
    </row>
    <row r="770" ht="20.1" customHeight="1">
      <c r="A770" s="12" t="inlineStr">
        <is>
          <t>Jugador 11</t>
        </is>
      </c>
      <c r="B770" s="8" t="inlineStr">
        <is>
          <t>M49</t>
        </is>
      </c>
      <c r="C770" s="12" t="inlineStr">
        <is>
          <t>República Checa</t>
        </is>
      </c>
      <c r="D770" s="12" t="inlineStr">
        <is>
          <t>Noruega</t>
        </is>
      </c>
      <c r="E770" s="8" t="n"/>
      <c r="F770" s="8" t="n"/>
      <c r="G770" s="8">
        <f>IF(OR(ISBLANK(E770),ISBLANK(F770)),"",IF(E770&gt;F770,"Local",IF(E770=F770,"Empate","Visitante")))</f>
        <v/>
      </c>
      <c r="H770" s="8">
        <f>IF(VLOOKUP(B770,PARTIDOS!$A:$I,9,FALSE)="Cerrado",IF(G770=VLOOKUP(B770,PARTIDOS!$A:$I,8,FALSE),IF(AND(E770=VLOOKUP(B770,PARTIDOS!$A:$I,6,FALSE),F770=VLOOKUP(B770,PARTIDOS!$A:$I,7,FALSE)),3,1),0),"")</f>
        <v/>
      </c>
    </row>
    <row r="771" ht="20.1" customHeight="1">
      <c r="A771" s="12" t="inlineStr">
        <is>
          <t>Jugador 11</t>
        </is>
      </c>
      <c r="B771" s="8" t="inlineStr">
        <is>
          <t>M50</t>
        </is>
      </c>
      <c r="C771" s="12" t="inlineStr">
        <is>
          <t>Japón</t>
        </is>
      </c>
      <c r="D771" s="12" t="inlineStr">
        <is>
          <t>Irán</t>
        </is>
      </c>
      <c r="E771" s="8" t="n"/>
      <c r="F771" s="8" t="n"/>
      <c r="G771" s="8">
        <f>IF(OR(ISBLANK(E771),ISBLANK(F771)),"",IF(E771&gt;F771,"Local",IF(E771=F771,"Empate","Visitante")))</f>
        <v/>
      </c>
      <c r="H771" s="8">
        <f>IF(VLOOKUP(B771,PARTIDOS!$A:$I,9,FALSE)="Cerrado",IF(G771=VLOOKUP(B771,PARTIDOS!$A:$I,8,FALSE),IF(AND(E771=VLOOKUP(B771,PARTIDOS!$A:$I,6,FALSE),F771=VLOOKUP(B771,PARTIDOS!$A:$I,7,FALSE)),3,1),0),"")</f>
        <v/>
      </c>
    </row>
    <row r="772" ht="20.1" customHeight="1">
      <c r="A772" s="12" t="inlineStr">
        <is>
          <t>Jugador 11</t>
        </is>
      </c>
      <c r="B772" s="8" t="inlineStr">
        <is>
          <t>M51</t>
        </is>
      </c>
      <c r="C772" s="12" t="inlineStr">
        <is>
          <t>República Checa</t>
        </is>
      </c>
      <c r="D772" s="12" t="inlineStr">
        <is>
          <t>Japón</t>
        </is>
      </c>
      <c r="E772" s="8" t="n"/>
      <c r="F772" s="8" t="n"/>
      <c r="G772" s="8">
        <f>IF(OR(ISBLANK(E772),ISBLANK(F772)),"",IF(E772&gt;F772,"Local",IF(E772=F772,"Empate","Visitante")))</f>
        <v/>
      </c>
      <c r="H772" s="8">
        <f>IF(VLOOKUP(B772,PARTIDOS!$A:$I,9,FALSE)="Cerrado",IF(G772=VLOOKUP(B772,PARTIDOS!$A:$I,8,FALSE),IF(AND(E772=VLOOKUP(B772,PARTIDOS!$A:$I,6,FALSE),F772=VLOOKUP(B772,PARTIDOS!$A:$I,7,FALSE)),3,1),0),"")</f>
        <v/>
      </c>
    </row>
    <row r="773" ht="20.1" customHeight="1">
      <c r="A773" s="12" t="inlineStr">
        <is>
          <t>Jugador 11</t>
        </is>
      </c>
      <c r="B773" s="8" t="inlineStr">
        <is>
          <t>M52</t>
        </is>
      </c>
      <c r="C773" s="12" t="inlineStr">
        <is>
          <t>Noruega</t>
        </is>
      </c>
      <c r="D773" s="12" t="inlineStr">
        <is>
          <t>Irán</t>
        </is>
      </c>
      <c r="E773" s="8" t="n"/>
      <c r="F773" s="8" t="n"/>
      <c r="G773" s="8">
        <f>IF(OR(ISBLANK(E773),ISBLANK(F773)),"",IF(E773&gt;F773,"Local",IF(E773=F773,"Empate","Visitante")))</f>
        <v/>
      </c>
      <c r="H773" s="8">
        <f>IF(VLOOKUP(B773,PARTIDOS!$A:$I,9,FALSE)="Cerrado",IF(G773=VLOOKUP(B773,PARTIDOS!$A:$I,8,FALSE),IF(AND(E773=VLOOKUP(B773,PARTIDOS!$A:$I,6,FALSE),F773=VLOOKUP(B773,PARTIDOS!$A:$I,7,FALSE)),3,1),0),"")</f>
        <v/>
      </c>
    </row>
    <row r="774" ht="20.1" customHeight="1">
      <c r="A774" s="12" t="inlineStr">
        <is>
          <t>Jugador 11</t>
        </is>
      </c>
      <c r="B774" s="8" t="inlineStr">
        <is>
          <t>M53</t>
        </is>
      </c>
      <c r="C774" s="12" t="inlineStr">
        <is>
          <t>República Checa</t>
        </is>
      </c>
      <c r="D774" s="12" t="inlineStr">
        <is>
          <t>Irán</t>
        </is>
      </c>
      <c r="E774" s="8" t="n"/>
      <c r="F774" s="8" t="n"/>
      <c r="G774" s="8">
        <f>IF(OR(ISBLANK(E774),ISBLANK(F774)),"",IF(E774&gt;F774,"Local",IF(E774=F774,"Empate","Visitante")))</f>
        <v/>
      </c>
      <c r="H774" s="8">
        <f>IF(VLOOKUP(B774,PARTIDOS!$A:$I,9,FALSE)="Cerrado",IF(G774=VLOOKUP(B774,PARTIDOS!$A:$I,8,FALSE),IF(AND(E774=VLOOKUP(B774,PARTIDOS!$A:$I,6,FALSE),F774=VLOOKUP(B774,PARTIDOS!$A:$I,7,FALSE)),3,1),0),"")</f>
        <v/>
      </c>
    </row>
    <row r="775" ht="20.1" customHeight="1">
      <c r="A775" s="12" t="inlineStr">
        <is>
          <t>Jugador 11</t>
        </is>
      </c>
      <c r="B775" s="8" t="inlineStr">
        <is>
          <t>M54</t>
        </is>
      </c>
      <c r="C775" s="12" t="inlineStr">
        <is>
          <t>Noruega</t>
        </is>
      </c>
      <c r="D775" s="12" t="inlineStr">
        <is>
          <t>Japón</t>
        </is>
      </c>
      <c r="E775" s="8" t="n"/>
      <c r="F775" s="8" t="n"/>
      <c r="G775" s="8">
        <f>IF(OR(ISBLANK(E775),ISBLANK(F775)),"",IF(E775&gt;F775,"Local",IF(E775=F775,"Empate","Visitante")))</f>
        <v/>
      </c>
      <c r="H775" s="8">
        <f>IF(VLOOKUP(B775,PARTIDOS!$A:$I,9,FALSE)="Cerrado",IF(G775=VLOOKUP(B775,PARTIDOS!$A:$I,8,FALSE),IF(AND(E775=VLOOKUP(B775,PARTIDOS!$A:$I,6,FALSE),F775=VLOOKUP(B775,PARTIDOS!$A:$I,7,FALSE)),3,1),0),"")</f>
        <v/>
      </c>
    </row>
    <row r="776" ht="20.1" customHeight="1">
      <c r="A776" s="12" t="inlineStr">
        <is>
          <t>Jugador 11</t>
        </is>
      </c>
      <c r="B776" s="8" t="inlineStr">
        <is>
          <t>M55</t>
        </is>
      </c>
      <c r="C776" s="12" t="inlineStr">
        <is>
          <t>Corea del Sur</t>
        </is>
      </c>
      <c r="D776" s="12" t="inlineStr">
        <is>
          <t>Australia</t>
        </is>
      </c>
      <c r="E776" s="8" t="n"/>
      <c r="F776" s="8" t="n"/>
      <c r="G776" s="8">
        <f>IF(OR(ISBLANK(E776),ISBLANK(F776)),"",IF(E776&gt;F776,"Local",IF(E776=F776,"Empate","Visitante")))</f>
        <v/>
      </c>
      <c r="H776" s="8">
        <f>IF(VLOOKUP(B776,PARTIDOS!$A:$I,9,FALSE)="Cerrado",IF(G776=VLOOKUP(B776,PARTIDOS!$A:$I,8,FALSE),IF(AND(E776=VLOOKUP(B776,PARTIDOS!$A:$I,6,FALSE),F776=VLOOKUP(B776,PARTIDOS!$A:$I,7,FALSE)),3,1),0),"")</f>
        <v/>
      </c>
    </row>
    <row r="777" ht="20.1" customHeight="1">
      <c r="A777" s="12" t="inlineStr">
        <is>
          <t>Jugador 11</t>
        </is>
      </c>
      <c r="B777" s="8" t="inlineStr">
        <is>
          <t>M56</t>
        </is>
      </c>
      <c r="C777" s="12" t="inlineStr">
        <is>
          <t>Marruecos</t>
        </is>
      </c>
      <c r="D777" s="12" t="inlineStr">
        <is>
          <t>Senegal</t>
        </is>
      </c>
      <c r="E777" s="8" t="n"/>
      <c r="F777" s="8" t="n"/>
      <c r="G777" s="8">
        <f>IF(OR(ISBLANK(E777),ISBLANK(F777)),"",IF(E777&gt;F777,"Local",IF(E777=F777,"Empate","Visitante")))</f>
        <v/>
      </c>
      <c r="H777" s="8">
        <f>IF(VLOOKUP(B777,PARTIDOS!$A:$I,9,FALSE)="Cerrado",IF(G777=VLOOKUP(B777,PARTIDOS!$A:$I,8,FALSE),IF(AND(E777=VLOOKUP(B777,PARTIDOS!$A:$I,6,FALSE),F777=VLOOKUP(B777,PARTIDOS!$A:$I,7,FALSE)),3,1),0),"")</f>
        <v/>
      </c>
    </row>
    <row r="778" ht="20.1" customHeight="1">
      <c r="A778" s="12" t="inlineStr">
        <is>
          <t>Jugador 11</t>
        </is>
      </c>
      <c r="B778" s="8" t="inlineStr">
        <is>
          <t>M57</t>
        </is>
      </c>
      <c r="C778" s="12" t="inlineStr">
        <is>
          <t>Corea del Sur</t>
        </is>
      </c>
      <c r="D778" s="12" t="inlineStr">
        <is>
          <t>Marruecos</t>
        </is>
      </c>
      <c r="E778" s="8" t="n"/>
      <c r="F778" s="8" t="n"/>
      <c r="G778" s="8">
        <f>IF(OR(ISBLANK(E778),ISBLANK(F778)),"",IF(E778&gt;F778,"Local",IF(E778=F778,"Empate","Visitante")))</f>
        <v/>
      </c>
      <c r="H778" s="8">
        <f>IF(VLOOKUP(B778,PARTIDOS!$A:$I,9,FALSE)="Cerrado",IF(G778=VLOOKUP(B778,PARTIDOS!$A:$I,8,FALSE),IF(AND(E778=VLOOKUP(B778,PARTIDOS!$A:$I,6,FALSE),F778=VLOOKUP(B778,PARTIDOS!$A:$I,7,FALSE)),3,1),0),"")</f>
        <v/>
      </c>
    </row>
    <row r="779" ht="20.1" customHeight="1">
      <c r="A779" s="12" t="inlineStr">
        <is>
          <t>Jugador 11</t>
        </is>
      </c>
      <c r="B779" s="8" t="inlineStr">
        <is>
          <t>M58</t>
        </is>
      </c>
      <c r="C779" s="12" t="inlineStr">
        <is>
          <t>Australia</t>
        </is>
      </c>
      <c r="D779" s="12" t="inlineStr">
        <is>
          <t>Senegal</t>
        </is>
      </c>
      <c r="E779" s="8" t="n"/>
      <c r="F779" s="8" t="n"/>
      <c r="G779" s="8">
        <f>IF(OR(ISBLANK(E779),ISBLANK(F779)),"",IF(E779&gt;F779,"Local",IF(E779=F779,"Empate","Visitante")))</f>
        <v/>
      </c>
      <c r="H779" s="8">
        <f>IF(VLOOKUP(B779,PARTIDOS!$A:$I,9,FALSE)="Cerrado",IF(G779=VLOOKUP(B779,PARTIDOS!$A:$I,8,FALSE),IF(AND(E779=VLOOKUP(B779,PARTIDOS!$A:$I,6,FALSE),F779=VLOOKUP(B779,PARTIDOS!$A:$I,7,FALSE)),3,1),0),"")</f>
        <v/>
      </c>
    </row>
    <row r="780" ht="20.1" customHeight="1">
      <c r="A780" s="12" t="inlineStr">
        <is>
          <t>Jugador 11</t>
        </is>
      </c>
      <c r="B780" s="8" t="inlineStr">
        <is>
          <t>M59</t>
        </is>
      </c>
      <c r="C780" s="12" t="inlineStr">
        <is>
          <t>Corea del Sur</t>
        </is>
      </c>
      <c r="D780" s="12" t="inlineStr">
        <is>
          <t>Senegal</t>
        </is>
      </c>
      <c r="E780" s="8" t="n"/>
      <c r="F780" s="8" t="n"/>
      <c r="G780" s="8">
        <f>IF(OR(ISBLANK(E780),ISBLANK(F780)),"",IF(E780&gt;F780,"Local",IF(E780=F780,"Empate","Visitante")))</f>
        <v/>
      </c>
      <c r="H780" s="8">
        <f>IF(VLOOKUP(B780,PARTIDOS!$A:$I,9,FALSE)="Cerrado",IF(G780=VLOOKUP(B780,PARTIDOS!$A:$I,8,FALSE),IF(AND(E780=VLOOKUP(B780,PARTIDOS!$A:$I,6,FALSE),F780=VLOOKUP(B780,PARTIDOS!$A:$I,7,FALSE)),3,1),0),"")</f>
        <v/>
      </c>
    </row>
    <row r="781" ht="20.1" customHeight="1">
      <c r="A781" s="12" t="inlineStr">
        <is>
          <t>Jugador 11</t>
        </is>
      </c>
      <c r="B781" s="8" t="inlineStr">
        <is>
          <t>M60</t>
        </is>
      </c>
      <c r="C781" s="12" t="inlineStr">
        <is>
          <t>Australia</t>
        </is>
      </c>
      <c r="D781" s="12" t="inlineStr">
        <is>
          <t>Marruecos</t>
        </is>
      </c>
      <c r="E781" s="8" t="n"/>
      <c r="F781" s="8" t="n"/>
      <c r="G781" s="8">
        <f>IF(OR(ISBLANK(E781),ISBLANK(F781)),"",IF(E781&gt;F781,"Local",IF(E781=F781,"Empate","Visitante")))</f>
        <v/>
      </c>
      <c r="H781" s="8">
        <f>IF(VLOOKUP(B781,PARTIDOS!$A:$I,9,FALSE)="Cerrado",IF(G781=VLOOKUP(B781,PARTIDOS!$A:$I,8,FALSE),IF(AND(E781=VLOOKUP(B781,PARTIDOS!$A:$I,6,FALSE),F781=VLOOKUP(B781,PARTIDOS!$A:$I,7,FALSE)),3,1),0),"")</f>
        <v/>
      </c>
    </row>
    <row r="782" ht="20.1" customHeight="1">
      <c r="A782" s="12" t="inlineStr">
        <is>
          <t>Jugador 11</t>
        </is>
      </c>
      <c r="B782" s="8" t="inlineStr">
        <is>
          <t>M61</t>
        </is>
      </c>
      <c r="C782" s="12" t="inlineStr">
        <is>
          <t>Túnez</t>
        </is>
      </c>
      <c r="D782" s="12" t="inlineStr">
        <is>
          <t>Nigeria</t>
        </is>
      </c>
      <c r="E782" s="8" t="n"/>
      <c r="F782" s="8" t="n"/>
      <c r="G782" s="8">
        <f>IF(OR(ISBLANK(E782),ISBLANK(F782)),"",IF(E782&gt;F782,"Local",IF(E782=F782,"Empate","Visitante")))</f>
        <v/>
      </c>
      <c r="H782" s="8">
        <f>IF(VLOOKUP(B782,PARTIDOS!$A:$I,9,FALSE)="Cerrado",IF(G782=VLOOKUP(B782,PARTIDOS!$A:$I,8,FALSE),IF(AND(E782=VLOOKUP(B782,PARTIDOS!$A:$I,6,FALSE),F782=VLOOKUP(B782,PARTIDOS!$A:$I,7,FALSE)),3,1),0),"")</f>
        <v/>
      </c>
    </row>
    <row r="783" ht="20.1" customHeight="1">
      <c r="A783" s="12" t="inlineStr">
        <is>
          <t>Jugador 11</t>
        </is>
      </c>
      <c r="B783" s="8" t="inlineStr">
        <is>
          <t>M62</t>
        </is>
      </c>
      <c r="C783" s="12" t="inlineStr">
        <is>
          <t>Camerún</t>
        </is>
      </c>
      <c r="D783" s="12" t="inlineStr">
        <is>
          <t>Egipto</t>
        </is>
      </c>
      <c r="E783" s="8" t="n"/>
      <c r="F783" s="8" t="n"/>
      <c r="G783" s="8">
        <f>IF(OR(ISBLANK(E783),ISBLANK(F783)),"",IF(E783&gt;F783,"Local",IF(E783=F783,"Empate","Visitante")))</f>
        <v/>
      </c>
      <c r="H783" s="8">
        <f>IF(VLOOKUP(B783,PARTIDOS!$A:$I,9,FALSE)="Cerrado",IF(G783=VLOOKUP(B783,PARTIDOS!$A:$I,8,FALSE),IF(AND(E783=VLOOKUP(B783,PARTIDOS!$A:$I,6,FALSE),F783=VLOOKUP(B783,PARTIDOS!$A:$I,7,FALSE)),3,1),0),"")</f>
        <v/>
      </c>
    </row>
    <row r="784" ht="20.1" customHeight="1">
      <c r="A784" s="12" t="inlineStr">
        <is>
          <t>Jugador 11</t>
        </is>
      </c>
      <c r="B784" s="8" t="inlineStr">
        <is>
          <t>M63</t>
        </is>
      </c>
      <c r="C784" s="12" t="inlineStr">
        <is>
          <t>Túnez</t>
        </is>
      </c>
      <c r="D784" s="12" t="inlineStr">
        <is>
          <t>Camerún</t>
        </is>
      </c>
      <c r="E784" s="8" t="n"/>
      <c r="F784" s="8" t="n"/>
      <c r="G784" s="8">
        <f>IF(OR(ISBLANK(E784),ISBLANK(F784)),"",IF(E784&gt;F784,"Local",IF(E784=F784,"Empate","Visitante")))</f>
        <v/>
      </c>
      <c r="H784" s="8">
        <f>IF(VLOOKUP(B784,PARTIDOS!$A:$I,9,FALSE)="Cerrado",IF(G784=VLOOKUP(B784,PARTIDOS!$A:$I,8,FALSE),IF(AND(E784=VLOOKUP(B784,PARTIDOS!$A:$I,6,FALSE),F784=VLOOKUP(B784,PARTIDOS!$A:$I,7,FALSE)),3,1),0),"")</f>
        <v/>
      </c>
    </row>
    <row r="785" ht="20.1" customHeight="1">
      <c r="A785" s="12" t="inlineStr">
        <is>
          <t>Jugador 11</t>
        </is>
      </c>
      <c r="B785" s="8" t="inlineStr">
        <is>
          <t>M64</t>
        </is>
      </c>
      <c r="C785" s="12" t="inlineStr">
        <is>
          <t>Nigeria</t>
        </is>
      </c>
      <c r="D785" s="12" t="inlineStr">
        <is>
          <t>Egipto</t>
        </is>
      </c>
      <c r="E785" s="8" t="n"/>
      <c r="F785" s="8" t="n"/>
      <c r="G785" s="8">
        <f>IF(OR(ISBLANK(E785),ISBLANK(F785)),"",IF(E785&gt;F785,"Local",IF(E785=F785,"Empate","Visitante")))</f>
        <v/>
      </c>
      <c r="H785" s="8">
        <f>IF(VLOOKUP(B785,PARTIDOS!$A:$I,9,FALSE)="Cerrado",IF(G785=VLOOKUP(B785,PARTIDOS!$A:$I,8,FALSE),IF(AND(E785=VLOOKUP(B785,PARTIDOS!$A:$I,6,FALSE),F785=VLOOKUP(B785,PARTIDOS!$A:$I,7,FALSE)),3,1),0),"")</f>
        <v/>
      </c>
    </row>
    <row r="786" ht="20.1" customHeight="1">
      <c r="A786" s="12" t="inlineStr">
        <is>
          <t>Jugador 11</t>
        </is>
      </c>
      <c r="B786" s="8" t="inlineStr">
        <is>
          <t>M65</t>
        </is>
      </c>
      <c r="C786" s="12" t="inlineStr">
        <is>
          <t>Túnez</t>
        </is>
      </c>
      <c r="D786" s="12" t="inlineStr">
        <is>
          <t>Egipto</t>
        </is>
      </c>
      <c r="E786" s="8" t="n"/>
      <c r="F786" s="8" t="n"/>
      <c r="G786" s="8">
        <f>IF(OR(ISBLANK(E786),ISBLANK(F786)),"",IF(E786&gt;F786,"Local",IF(E786=F786,"Empate","Visitante")))</f>
        <v/>
      </c>
      <c r="H786" s="8">
        <f>IF(VLOOKUP(B786,PARTIDOS!$A:$I,9,FALSE)="Cerrado",IF(G786=VLOOKUP(B786,PARTIDOS!$A:$I,8,FALSE),IF(AND(E786=VLOOKUP(B786,PARTIDOS!$A:$I,6,FALSE),F786=VLOOKUP(B786,PARTIDOS!$A:$I,7,FALSE)),3,1),0),"")</f>
        <v/>
      </c>
    </row>
    <row r="787" ht="20.1" customHeight="1">
      <c r="A787" s="12" t="inlineStr">
        <is>
          <t>Jugador 11</t>
        </is>
      </c>
      <c r="B787" s="8" t="inlineStr">
        <is>
          <t>M66</t>
        </is>
      </c>
      <c r="C787" s="12" t="inlineStr">
        <is>
          <t>Nigeria</t>
        </is>
      </c>
      <c r="D787" s="12" t="inlineStr">
        <is>
          <t>Camerún</t>
        </is>
      </c>
      <c r="E787" s="8" t="n"/>
      <c r="F787" s="8" t="n"/>
      <c r="G787" s="8">
        <f>IF(OR(ISBLANK(E787),ISBLANK(F787)),"",IF(E787&gt;F787,"Local",IF(E787=F787,"Empate","Visitante")))</f>
        <v/>
      </c>
      <c r="H787" s="8">
        <f>IF(VLOOKUP(B787,PARTIDOS!$A:$I,9,FALSE)="Cerrado",IF(G787=VLOOKUP(B787,PARTIDOS!$A:$I,8,FALSE),IF(AND(E787=VLOOKUP(B787,PARTIDOS!$A:$I,6,FALSE),F787=VLOOKUP(B787,PARTIDOS!$A:$I,7,FALSE)),3,1),0),"")</f>
        <v/>
      </c>
    </row>
    <row r="788" ht="20.1" customHeight="1">
      <c r="A788" s="12" t="inlineStr">
        <is>
          <t>Jugador 11</t>
        </is>
      </c>
      <c r="B788" s="8" t="inlineStr">
        <is>
          <t>M67</t>
        </is>
      </c>
      <c r="C788" s="12" t="inlineStr">
        <is>
          <t>Costa de Marfil</t>
        </is>
      </c>
      <c r="D788" s="12" t="inlineStr">
        <is>
          <t>Sudáfrica</t>
        </is>
      </c>
      <c r="E788" s="8" t="n"/>
      <c r="F788" s="8" t="n"/>
      <c r="G788" s="8">
        <f>IF(OR(ISBLANK(E788),ISBLANK(F788)),"",IF(E788&gt;F788,"Local",IF(E788=F788,"Empate","Visitante")))</f>
        <v/>
      </c>
      <c r="H788" s="8">
        <f>IF(VLOOKUP(B788,PARTIDOS!$A:$I,9,FALSE)="Cerrado",IF(G788=VLOOKUP(B788,PARTIDOS!$A:$I,8,FALSE),IF(AND(E788=VLOOKUP(B788,PARTIDOS!$A:$I,6,FALSE),F788=VLOOKUP(B788,PARTIDOS!$A:$I,7,FALSE)),3,1),0),"")</f>
        <v/>
      </c>
    </row>
    <row r="789" ht="20.1" customHeight="1">
      <c r="A789" s="12" t="inlineStr">
        <is>
          <t>Jugador 11</t>
        </is>
      </c>
      <c r="B789" s="8" t="inlineStr">
        <is>
          <t>M68</t>
        </is>
      </c>
      <c r="C789" s="12" t="inlineStr">
        <is>
          <t>Panáma</t>
        </is>
      </c>
      <c r="D789" s="12" t="inlineStr">
        <is>
          <t>Nueva Zelanda</t>
        </is>
      </c>
      <c r="E789" s="8" t="n"/>
      <c r="F789" s="8" t="n"/>
      <c r="G789" s="8">
        <f>IF(OR(ISBLANK(E789),ISBLANK(F789)),"",IF(E789&gt;F789,"Local",IF(E789=F789,"Empate","Visitante")))</f>
        <v/>
      </c>
      <c r="H789" s="8">
        <f>IF(VLOOKUP(B789,PARTIDOS!$A:$I,9,FALSE)="Cerrado",IF(G789=VLOOKUP(B789,PARTIDOS!$A:$I,8,FALSE),IF(AND(E789=VLOOKUP(B789,PARTIDOS!$A:$I,6,FALSE),F789=VLOOKUP(B789,PARTIDOS!$A:$I,7,FALSE)),3,1),0),"")</f>
        <v/>
      </c>
    </row>
    <row r="790" ht="20.1" customHeight="1">
      <c r="A790" s="12" t="inlineStr">
        <is>
          <t>Jugador 11</t>
        </is>
      </c>
      <c r="B790" s="8" t="inlineStr">
        <is>
          <t>M69</t>
        </is>
      </c>
      <c r="C790" s="12" t="inlineStr">
        <is>
          <t>Costa de Marfil</t>
        </is>
      </c>
      <c r="D790" s="12" t="inlineStr">
        <is>
          <t>Panáma</t>
        </is>
      </c>
      <c r="E790" s="8" t="n"/>
      <c r="F790" s="8" t="n"/>
      <c r="G790" s="8">
        <f>IF(OR(ISBLANK(E790),ISBLANK(F790)),"",IF(E790&gt;F790,"Local",IF(E790=F790,"Empate","Visitante")))</f>
        <v/>
      </c>
      <c r="H790" s="8">
        <f>IF(VLOOKUP(B790,PARTIDOS!$A:$I,9,FALSE)="Cerrado",IF(G790=VLOOKUP(B790,PARTIDOS!$A:$I,8,FALSE),IF(AND(E790=VLOOKUP(B790,PARTIDOS!$A:$I,6,FALSE),F790=VLOOKUP(B790,PARTIDOS!$A:$I,7,FALSE)),3,1),0),"")</f>
        <v/>
      </c>
    </row>
    <row r="791" ht="20.1" customHeight="1">
      <c r="A791" s="12" t="inlineStr">
        <is>
          <t>Jugador 11</t>
        </is>
      </c>
      <c r="B791" s="8" t="inlineStr">
        <is>
          <t>M70</t>
        </is>
      </c>
      <c r="C791" s="12" t="inlineStr">
        <is>
          <t>Sudáfrica</t>
        </is>
      </c>
      <c r="D791" s="12" t="inlineStr">
        <is>
          <t>Nueva Zelanda</t>
        </is>
      </c>
      <c r="E791" s="8" t="n"/>
      <c r="F791" s="8" t="n"/>
      <c r="G791" s="8">
        <f>IF(OR(ISBLANK(E791),ISBLANK(F791)),"",IF(E791&gt;F791,"Local",IF(E791=F791,"Empate","Visitante")))</f>
        <v/>
      </c>
      <c r="H791" s="8">
        <f>IF(VLOOKUP(B791,PARTIDOS!$A:$I,9,FALSE)="Cerrado",IF(G791=VLOOKUP(B791,PARTIDOS!$A:$I,8,FALSE),IF(AND(E791=VLOOKUP(B791,PARTIDOS!$A:$I,6,FALSE),F791=VLOOKUP(B791,PARTIDOS!$A:$I,7,FALSE)),3,1),0),"")</f>
        <v/>
      </c>
    </row>
    <row r="792" ht="20.1" customHeight="1">
      <c r="A792" s="12" t="inlineStr">
        <is>
          <t>Jugador 11</t>
        </is>
      </c>
      <c r="B792" s="8" t="inlineStr">
        <is>
          <t>M71</t>
        </is>
      </c>
      <c r="C792" s="12" t="inlineStr">
        <is>
          <t>Costa de Marfil</t>
        </is>
      </c>
      <c r="D792" s="12" t="inlineStr">
        <is>
          <t>Nueva Zelanda</t>
        </is>
      </c>
      <c r="E792" s="8" t="n"/>
      <c r="F792" s="8" t="n"/>
      <c r="G792" s="8">
        <f>IF(OR(ISBLANK(E792),ISBLANK(F792)),"",IF(E792&gt;F792,"Local",IF(E792=F792,"Empate","Visitante")))</f>
        <v/>
      </c>
      <c r="H792" s="8">
        <f>IF(VLOOKUP(B792,PARTIDOS!$A:$I,9,FALSE)="Cerrado",IF(G792=VLOOKUP(B792,PARTIDOS!$A:$I,8,FALSE),IF(AND(E792=VLOOKUP(B792,PARTIDOS!$A:$I,6,FALSE),F792=VLOOKUP(B792,PARTIDOS!$A:$I,7,FALSE)),3,1),0),"")</f>
        <v/>
      </c>
    </row>
    <row r="793" ht="20.1" customHeight="1">
      <c r="A793" s="12" t="inlineStr">
        <is>
          <t>Jugador 11</t>
        </is>
      </c>
      <c r="B793" s="8" t="inlineStr">
        <is>
          <t>M72</t>
        </is>
      </c>
      <c r="C793" s="12" t="inlineStr">
        <is>
          <t>Sudáfrica</t>
        </is>
      </c>
      <c r="D793" s="12" t="inlineStr">
        <is>
          <t>Panáma</t>
        </is>
      </c>
      <c r="E793" s="8" t="n"/>
      <c r="F793" s="8" t="n"/>
      <c r="G793" s="8">
        <f>IF(OR(ISBLANK(E793),ISBLANK(F793)),"",IF(E793&gt;F793,"Local",IF(E793=F793,"Empate","Visitante")))</f>
        <v/>
      </c>
      <c r="H793" s="8">
        <f>IF(VLOOKUP(B793,PARTIDOS!$A:$I,9,FALSE)="Cerrado",IF(G793=VLOOKUP(B793,PARTIDOS!$A:$I,8,FALSE),IF(AND(E793=VLOOKUP(B793,PARTIDOS!$A:$I,6,FALSE),F793=VLOOKUP(B793,PARTIDOS!$A:$I,7,FALSE)),3,1),0),"")</f>
        <v/>
      </c>
    </row>
    <row r="794" ht="20.1" customHeight="1">
      <c r="A794" s="12" t="inlineStr">
        <is>
          <t>Jugador 12</t>
        </is>
      </c>
      <c r="B794" s="8" t="inlineStr">
        <is>
          <t>M01</t>
        </is>
      </c>
      <c r="C794" s="12" t="inlineStr">
        <is>
          <t>México</t>
        </is>
      </c>
      <c r="D794" s="12" t="inlineStr">
        <is>
          <t>EEUU</t>
        </is>
      </c>
      <c r="E794" s="8" t="n"/>
      <c r="F794" s="8" t="n"/>
      <c r="G794" s="8">
        <f>IF(OR(ISBLANK(E794),ISBLANK(F794)),"",IF(E794&gt;F794,"Local",IF(E794=F794,"Empate","Visitante")))</f>
        <v/>
      </c>
      <c r="H794" s="8">
        <f>IF(VLOOKUP(B794,PARTIDOS!$A:$I,9,FALSE)="Cerrado",IF(G794=VLOOKUP(B794,PARTIDOS!$A:$I,8,FALSE),IF(AND(E794=VLOOKUP(B794,PARTIDOS!$A:$I,6,FALSE),F794=VLOOKUP(B794,PARTIDOS!$A:$I,7,FALSE)),3,1),0),"")</f>
        <v/>
      </c>
    </row>
    <row r="795" ht="20.1" customHeight="1">
      <c r="A795" s="12" t="inlineStr">
        <is>
          <t>Jugador 12</t>
        </is>
      </c>
      <c r="B795" s="8" t="inlineStr">
        <is>
          <t>M02</t>
        </is>
      </c>
      <c r="C795" s="12" t="inlineStr">
        <is>
          <t>Canadá</t>
        </is>
      </c>
      <c r="D795" s="12" t="inlineStr">
        <is>
          <t>Jamaica</t>
        </is>
      </c>
      <c r="E795" s="8" t="n"/>
      <c r="F795" s="8" t="n"/>
      <c r="G795" s="8">
        <f>IF(OR(ISBLANK(E795),ISBLANK(F795)),"",IF(E795&gt;F795,"Local",IF(E795=F795,"Empate","Visitante")))</f>
        <v/>
      </c>
      <c r="H795" s="8">
        <f>IF(VLOOKUP(B795,PARTIDOS!$A:$I,9,FALSE)="Cerrado",IF(G795=VLOOKUP(B795,PARTIDOS!$A:$I,8,FALSE),IF(AND(E795=VLOOKUP(B795,PARTIDOS!$A:$I,6,FALSE),F795=VLOOKUP(B795,PARTIDOS!$A:$I,7,FALSE)),3,1),0),"")</f>
        <v/>
      </c>
    </row>
    <row r="796" ht="20.1" customHeight="1">
      <c r="A796" s="12" t="inlineStr">
        <is>
          <t>Jugador 12</t>
        </is>
      </c>
      <c r="B796" s="8" t="inlineStr">
        <is>
          <t>M03</t>
        </is>
      </c>
      <c r="C796" s="12" t="inlineStr">
        <is>
          <t>México</t>
        </is>
      </c>
      <c r="D796" s="12" t="inlineStr">
        <is>
          <t>Canadá</t>
        </is>
      </c>
      <c r="E796" s="8" t="n"/>
      <c r="F796" s="8" t="n"/>
      <c r="G796" s="8">
        <f>IF(OR(ISBLANK(E796),ISBLANK(F796)),"",IF(E796&gt;F796,"Local",IF(E796=F796,"Empate","Visitante")))</f>
        <v/>
      </c>
      <c r="H796" s="8">
        <f>IF(VLOOKUP(B796,PARTIDOS!$A:$I,9,FALSE)="Cerrado",IF(G796=VLOOKUP(B796,PARTIDOS!$A:$I,8,FALSE),IF(AND(E796=VLOOKUP(B796,PARTIDOS!$A:$I,6,FALSE),F796=VLOOKUP(B796,PARTIDOS!$A:$I,7,FALSE)),3,1),0),"")</f>
        <v/>
      </c>
    </row>
    <row r="797" ht="20.1" customHeight="1">
      <c r="A797" s="12" t="inlineStr">
        <is>
          <t>Jugador 12</t>
        </is>
      </c>
      <c r="B797" s="8" t="inlineStr">
        <is>
          <t>M04</t>
        </is>
      </c>
      <c r="C797" s="12" t="inlineStr">
        <is>
          <t>EEUU</t>
        </is>
      </c>
      <c r="D797" s="12" t="inlineStr">
        <is>
          <t>Jamaica</t>
        </is>
      </c>
      <c r="E797" s="8" t="n"/>
      <c r="F797" s="8" t="n"/>
      <c r="G797" s="8">
        <f>IF(OR(ISBLANK(E797),ISBLANK(F797)),"",IF(E797&gt;F797,"Local",IF(E797=F797,"Empate","Visitante")))</f>
        <v/>
      </c>
      <c r="H797" s="8">
        <f>IF(VLOOKUP(B797,PARTIDOS!$A:$I,9,FALSE)="Cerrado",IF(G797=VLOOKUP(B797,PARTIDOS!$A:$I,8,FALSE),IF(AND(E797=VLOOKUP(B797,PARTIDOS!$A:$I,6,FALSE),F797=VLOOKUP(B797,PARTIDOS!$A:$I,7,FALSE)),3,1),0),"")</f>
        <v/>
      </c>
    </row>
    <row r="798" ht="20.1" customHeight="1">
      <c r="A798" s="12" t="inlineStr">
        <is>
          <t>Jugador 12</t>
        </is>
      </c>
      <c r="B798" s="8" t="inlineStr">
        <is>
          <t>M05</t>
        </is>
      </c>
      <c r="C798" s="12" t="inlineStr">
        <is>
          <t>México</t>
        </is>
      </c>
      <c r="D798" s="12" t="inlineStr">
        <is>
          <t>Jamaica</t>
        </is>
      </c>
      <c r="E798" s="8" t="n"/>
      <c r="F798" s="8" t="n"/>
      <c r="G798" s="8">
        <f>IF(OR(ISBLANK(E798),ISBLANK(F798)),"",IF(E798&gt;F798,"Local",IF(E798=F798,"Empate","Visitante")))</f>
        <v/>
      </c>
      <c r="H798" s="8">
        <f>IF(VLOOKUP(B798,PARTIDOS!$A:$I,9,FALSE)="Cerrado",IF(G798=VLOOKUP(B798,PARTIDOS!$A:$I,8,FALSE),IF(AND(E798=VLOOKUP(B798,PARTIDOS!$A:$I,6,FALSE),F798=VLOOKUP(B798,PARTIDOS!$A:$I,7,FALSE)),3,1),0),"")</f>
        <v/>
      </c>
    </row>
    <row r="799" ht="20.1" customHeight="1">
      <c r="A799" s="12" t="inlineStr">
        <is>
          <t>Jugador 12</t>
        </is>
      </c>
      <c r="B799" s="8" t="inlineStr">
        <is>
          <t>M06</t>
        </is>
      </c>
      <c r="C799" s="12" t="inlineStr">
        <is>
          <t>EEUU</t>
        </is>
      </c>
      <c r="D799" s="12" t="inlineStr">
        <is>
          <t>Canadá</t>
        </is>
      </c>
      <c r="E799" s="8" t="n"/>
      <c r="F799" s="8" t="n"/>
      <c r="G799" s="8">
        <f>IF(OR(ISBLANK(E799),ISBLANK(F799)),"",IF(E799&gt;F799,"Local",IF(E799=F799,"Empate","Visitante")))</f>
        <v/>
      </c>
      <c r="H799" s="8">
        <f>IF(VLOOKUP(B799,PARTIDOS!$A:$I,9,FALSE)="Cerrado",IF(G799=VLOOKUP(B799,PARTIDOS!$A:$I,8,FALSE),IF(AND(E799=VLOOKUP(B799,PARTIDOS!$A:$I,6,FALSE),F799=VLOOKUP(B799,PARTIDOS!$A:$I,7,FALSE)),3,1),0),"")</f>
        <v/>
      </c>
    </row>
    <row r="800" ht="20.1" customHeight="1">
      <c r="A800" s="12" t="inlineStr">
        <is>
          <t>Jugador 12</t>
        </is>
      </c>
      <c r="B800" s="8" t="inlineStr">
        <is>
          <t>M07</t>
        </is>
      </c>
      <c r="C800" s="12" t="inlineStr">
        <is>
          <t>Argentina</t>
        </is>
      </c>
      <c r="D800" s="12" t="inlineStr">
        <is>
          <t>Brasil</t>
        </is>
      </c>
      <c r="E800" s="8" t="n"/>
      <c r="F800" s="8" t="n"/>
      <c r="G800" s="8">
        <f>IF(OR(ISBLANK(E800),ISBLANK(F800)),"",IF(E800&gt;F800,"Local",IF(E800=F800,"Empate","Visitante")))</f>
        <v/>
      </c>
      <c r="H800" s="8">
        <f>IF(VLOOKUP(B800,PARTIDOS!$A:$I,9,FALSE)="Cerrado",IF(G800=VLOOKUP(B800,PARTIDOS!$A:$I,8,FALSE),IF(AND(E800=VLOOKUP(B800,PARTIDOS!$A:$I,6,FALSE),F800=VLOOKUP(B800,PARTIDOS!$A:$I,7,FALSE)),3,1),0),"")</f>
        <v/>
      </c>
    </row>
    <row r="801" ht="20.1" customHeight="1">
      <c r="A801" s="12" t="inlineStr">
        <is>
          <t>Jugador 12</t>
        </is>
      </c>
      <c r="B801" s="8" t="inlineStr">
        <is>
          <t>M08</t>
        </is>
      </c>
      <c r="C801" s="12" t="inlineStr">
        <is>
          <t>Colombia</t>
        </is>
      </c>
      <c r="D801" s="12" t="inlineStr">
        <is>
          <t>Uruguay</t>
        </is>
      </c>
      <c r="E801" s="8" t="n"/>
      <c r="F801" s="8" t="n"/>
      <c r="G801" s="8">
        <f>IF(OR(ISBLANK(E801),ISBLANK(F801)),"",IF(E801&gt;F801,"Local",IF(E801=F801,"Empate","Visitante")))</f>
        <v/>
      </c>
      <c r="H801" s="8">
        <f>IF(VLOOKUP(B801,PARTIDOS!$A:$I,9,FALSE)="Cerrado",IF(G801=VLOOKUP(B801,PARTIDOS!$A:$I,8,FALSE),IF(AND(E801=VLOOKUP(B801,PARTIDOS!$A:$I,6,FALSE),F801=VLOOKUP(B801,PARTIDOS!$A:$I,7,FALSE)),3,1),0),"")</f>
        <v/>
      </c>
    </row>
    <row r="802" ht="20.1" customHeight="1">
      <c r="A802" s="12" t="inlineStr">
        <is>
          <t>Jugador 12</t>
        </is>
      </c>
      <c r="B802" s="8" t="inlineStr">
        <is>
          <t>M09</t>
        </is>
      </c>
      <c r="C802" s="12" t="inlineStr">
        <is>
          <t>Argentina</t>
        </is>
      </c>
      <c r="D802" s="12" t="inlineStr">
        <is>
          <t>Colombia</t>
        </is>
      </c>
      <c r="E802" s="8" t="n"/>
      <c r="F802" s="8" t="n"/>
      <c r="G802" s="8">
        <f>IF(OR(ISBLANK(E802),ISBLANK(F802)),"",IF(E802&gt;F802,"Local",IF(E802=F802,"Empate","Visitante")))</f>
        <v/>
      </c>
      <c r="H802" s="8">
        <f>IF(VLOOKUP(B802,PARTIDOS!$A:$I,9,FALSE)="Cerrado",IF(G802=VLOOKUP(B802,PARTIDOS!$A:$I,8,FALSE),IF(AND(E802=VLOOKUP(B802,PARTIDOS!$A:$I,6,FALSE),F802=VLOOKUP(B802,PARTIDOS!$A:$I,7,FALSE)),3,1),0),"")</f>
        <v/>
      </c>
    </row>
    <row r="803" ht="20.1" customHeight="1">
      <c r="A803" s="12" t="inlineStr">
        <is>
          <t>Jugador 12</t>
        </is>
      </c>
      <c r="B803" s="8" t="inlineStr">
        <is>
          <t>M10</t>
        </is>
      </c>
      <c r="C803" s="12" t="inlineStr">
        <is>
          <t>Brasil</t>
        </is>
      </c>
      <c r="D803" s="12" t="inlineStr">
        <is>
          <t>Uruguay</t>
        </is>
      </c>
      <c r="E803" s="8" t="n"/>
      <c r="F803" s="8" t="n"/>
      <c r="G803" s="8">
        <f>IF(OR(ISBLANK(E803),ISBLANK(F803)),"",IF(E803&gt;F803,"Local",IF(E803=F803,"Empate","Visitante")))</f>
        <v/>
      </c>
      <c r="H803" s="8">
        <f>IF(VLOOKUP(B803,PARTIDOS!$A:$I,9,FALSE)="Cerrado",IF(G803=VLOOKUP(B803,PARTIDOS!$A:$I,8,FALSE),IF(AND(E803=VLOOKUP(B803,PARTIDOS!$A:$I,6,FALSE),F803=VLOOKUP(B803,PARTIDOS!$A:$I,7,FALSE)),3,1),0),"")</f>
        <v/>
      </c>
    </row>
    <row r="804" ht="20.1" customHeight="1">
      <c r="A804" s="12" t="inlineStr">
        <is>
          <t>Jugador 12</t>
        </is>
      </c>
      <c r="B804" s="8" t="inlineStr">
        <is>
          <t>M11</t>
        </is>
      </c>
      <c r="C804" s="12" t="inlineStr">
        <is>
          <t>Argentina</t>
        </is>
      </c>
      <c r="D804" s="12" t="inlineStr">
        <is>
          <t>Uruguay</t>
        </is>
      </c>
      <c r="E804" s="8" t="n"/>
      <c r="F804" s="8" t="n"/>
      <c r="G804" s="8">
        <f>IF(OR(ISBLANK(E804),ISBLANK(F804)),"",IF(E804&gt;F804,"Local",IF(E804=F804,"Empate","Visitante")))</f>
        <v/>
      </c>
      <c r="H804" s="8">
        <f>IF(VLOOKUP(B804,PARTIDOS!$A:$I,9,FALSE)="Cerrado",IF(G804=VLOOKUP(B804,PARTIDOS!$A:$I,8,FALSE),IF(AND(E804=VLOOKUP(B804,PARTIDOS!$A:$I,6,FALSE),F804=VLOOKUP(B804,PARTIDOS!$A:$I,7,FALSE)),3,1),0),"")</f>
        <v/>
      </c>
    </row>
    <row r="805" ht="20.1" customHeight="1">
      <c r="A805" s="12" t="inlineStr">
        <is>
          <t>Jugador 12</t>
        </is>
      </c>
      <c r="B805" s="8" t="inlineStr">
        <is>
          <t>M12</t>
        </is>
      </c>
      <c r="C805" s="12" t="inlineStr">
        <is>
          <t>Brasil</t>
        </is>
      </c>
      <c r="D805" s="12" t="inlineStr">
        <is>
          <t>Colombia</t>
        </is>
      </c>
      <c r="E805" s="8" t="n"/>
      <c r="F805" s="8" t="n"/>
      <c r="G805" s="8">
        <f>IF(OR(ISBLANK(E805),ISBLANK(F805)),"",IF(E805&gt;F805,"Local",IF(E805=F805,"Empate","Visitante")))</f>
        <v/>
      </c>
      <c r="H805" s="8">
        <f>IF(VLOOKUP(B805,PARTIDOS!$A:$I,9,FALSE)="Cerrado",IF(G805=VLOOKUP(B805,PARTIDOS!$A:$I,8,FALSE),IF(AND(E805=VLOOKUP(B805,PARTIDOS!$A:$I,6,FALSE),F805=VLOOKUP(B805,PARTIDOS!$A:$I,7,FALSE)),3,1),0),"")</f>
        <v/>
      </c>
    </row>
    <row r="806" ht="20.1" customHeight="1">
      <c r="A806" s="12" t="inlineStr">
        <is>
          <t>Jugador 12</t>
        </is>
      </c>
      <c r="B806" s="8" t="inlineStr">
        <is>
          <t>M13</t>
        </is>
      </c>
      <c r="C806" s="12" t="inlineStr">
        <is>
          <t>Ecuador</t>
        </is>
      </c>
      <c r="D806" s="12" t="inlineStr">
        <is>
          <t>Perú</t>
        </is>
      </c>
      <c r="E806" s="8" t="n"/>
      <c r="F806" s="8" t="n"/>
      <c r="G806" s="8">
        <f>IF(OR(ISBLANK(E806),ISBLANK(F806)),"",IF(E806&gt;F806,"Local",IF(E806=F806,"Empate","Visitante")))</f>
        <v/>
      </c>
      <c r="H806" s="8">
        <f>IF(VLOOKUP(B806,PARTIDOS!$A:$I,9,FALSE)="Cerrado",IF(G806=VLOOKUP(B806,PARTIDOS!$A:$I,8,FALSE),IF(AND(E806=VLOOKUP(B806,PARTIDOS!$A:$I,6,FALSE),F806=VLOOKUP(B806,PARTIDOS!$A:$I,7,FALSE)),3,1),0),"")</f>
        <v/>
      </c>
    </row>
    <row r="807" ht="20.1" customHeight="1">
      <c r="A807" s="12" t="inlineStr">
        <is>
          <t>Jugador 12</t>
        </is>
      </c>
      <c r="B807" s="8" t="inlineStr">
        <is>
          <t>M14</t>
        </is>
      </c>
      <c r="C807" s="12" t="inlineStr">
        <is>
          <t>Chile</t>
        </is>
      </c>
      <c r="D807" s="12" t="inlineStr">
        <is>
          <t>Paraguay</t>
        </is>
      </c>
      <c r="E807" s="8" t="n"/>
      <c r="F807" s="8" t="n"/>
      <c r="G807" s="8">
        <f>IF(OR(ISBLANK(E807),ISBLANK(F807)),"",IF(E807&gt;F807,"Local",IF(E807=F807,"Empate","Visitante")))</f>
        <v/>
      </c>
      <c r="H807" s="8">
        <f>IF(VLOOKUP(B807,PARTIDOS!$A:$I,9,FALSE)="Cerrado",IF(G807=VLOOKUP(B807,PARTIDOS!$A:$I,8,FALSE),IF(AND(E807=VLOOKUP(B807,PARTIDOS!$A:$I,6,FALSE),F807=VLOOKUP(B807,PARTIDOS!$A:$I,7,FALSE)),3,1),0),"")</f>
        <v/>
      </c>
    </row>
    <row r="808" ht="20.1" customHeight="1">
      <c r="A808" s="12" t="inlineStr">
        <is>
          <t>Jugador 12</t>
        </is>
      </c>
      <c r="B808" s="8" t="inlineStr">
        <is>
          <t>M15</t>
        </is>
      </c>
      <c r="C808" s="12" t="inlineStr">
        <is>
          <t>Ecuador</t>
        </is>
      </c>
      <c r="D808" s="12" t="inlineStr">
        <is>
          <t>Chile</t>
        </is>
      </c>
      <c r="E808" s="8" t="n"/>
      <c r="F808" s="8" t="n"/>
      <c r="G808" s="8">
        <f>IF(OR(ISBLANK(E808),ISBLANK(F808)),"",IF(E808&gt;F808,"Local",IF(E808=F808,"Empate","Visitante")))</f>
        <v/>
      </c>
      <c r="H808" s="8">
        <f>IF(VLOOKUP(B808,PARTIDOS!$A:$I,9,FALSE)="Cerrado",IF(G808=VLOOKUP(B808,PARTIDOS!$A:$I,8,FALSE),IF(AND(E808=VLOOKUP(B808,PARTIDOS!$A:$I,6,FALSE),F808=VLOOKUP(B808,PARTIDOS!$A:$I,7,FALSE)),3,1),0),"")</f>
        <v/>
      </c>
    </row>
    <row r="809" ht="20.1" customHeight="1">
      <c r="A809" s="12" t="inlineStr">
        <is>
          <t>Jugador 12</t>
        </is>
      </c>
      <c r="B809" s="8" t="inlineStr">
        <is>
          <t>M16</t>
        </is>
      </c>
      <c r="C809" s="12" t="inlineStr">
        <is>
          <t>Perú</t>
        </is>
      </c>
      <c r="D809" s="12" t="inlineStr">
        <is>
          <t>Paraguay</t>
        </is>
      </c>
      <c r="E809" s="8" t="n"/>
      <c r="F809" s="8" t="n"/>
      <c r="G809" s="8">
        <f>IF(OR(ISBLANK(E809),ISBLANK(F809)),"",IF(E809&gt;F809,"Local",IF(E809=F809,"Empate","Visitante")))</f>
        <v/>
      </c>
      <c r="H809" s="8">
        <f>IF(VLOOKUP(B809,PARTIDOS!$A:$I,9,FALSE)="Cerrado",IF(G809=VLOOKUP(B809,PARTIDOS!$A:$I,8,FALSE),IF(AND(E809=VLOOKUP(B809,PARTIDOS!$A:$I,6,FALSE),F809=VLOOKUP(B809,PARTIDOS!$A:$I,7,FALSE)),3,1),0),"")</f>
        <v/>
      </c>
    </row>
    <row r="810" ht="20.1" customHeight="1">
      <c r="A810" s="12" t="inlineStr">
        <is>
          <t>Jugador 12</t>
        </is>
      </c>
      <c r="B810" s="8" t="inlineStr">
        <is>
          <t>M17</t>
        </is>
      </c>
      <c r="C810" s="12" t="inlineStr">
        <is>
          <t>Ecuador</t>
        </is>
      </c>
      <c r="D810" s="12" t="inlineStr">
        <is>
          <t>Paraguay</t>
        </is>
      </c>
      <c r="E810" s="8" t="n"/>
      <c r="F810" s="8" t="n"/>
      <c r="G810" s="8">
        <f>IF(OR(ISBLANK(E810),ISBLANK(F810)),"",IF(E810&gt;F810,"Local",IF(E810=F810,"Empate","Visitante")))</f>
        <v/>
      </c>
      <c r="H810" s="8">
        <f>IF(VLOOKUP(B810,PARTIDOS!$A:$I,9,FALSE)="Cerrado",IF(G810=VLOOKUP(B810,PARTIDOS!$A:$I,8,FALSE),IF(AND(E810=VLOOKUP(B810,PARTIDOS!$A:$I,6,FALSE),F810=VLOOKUP(B810,PARTIDOS!$A:$I,7,FALSE)),3,1),0),"")</f>
        <v/>
      </c>
    </row>
    <row r="811" ht="20.1" customHeight="1">
      <c r="A811" s="12" t="inlineStr">
        <is>
          <t>Jugador 12</t>
        </is>
      </c>
      <c r="B811" s="8" t="inlineStr">
        <is>
          <t>M18</t>
        </is>
      </c>
      <c r="C811" s="12" t="inlineStr">
        <is>
          <t>Perú</t>
        </is>
      </c>
      <c r="D811" s="12" t="inlineStr">
        <is>
          <t>Chile</t>
        </is>
      </c>
      <c r="E811" s="8" t="n"/>
      <c r="F811" s="8" t="n"/>
      <c r="G811" s="8">
        <f>IF(OR(ISBLANK(E811),ISBLANK(F811)),"",IF(E811&gt;F811,"Local",IF(E811=F811,"Empate","Visitante")))</f>
        <v/>
      </c>
      <c r="H811" s="8">
        <f>IF(VLOOKUP(B811,PARTIDOS!$A:$I,9,FALSE)="Cerrado",IF(G811=VLOOKUP(B811,PARTIDOS!$A:$I,8,FALSE),IF(AND(E811=VLOOKUP(B811,PARTIDOS!$A:$I,6,FALSE),F811=VLOOKUP(B811,PARTIDOS!$A:$I,7,FALSE)),3,1),0),"")</f>
        <v/>
      </c>
    </row>
    <row r="812" ht="20.1" customHeight="1">
      <c r="A812" s="12" t="inlineStr">
        <is>
          <t>Jugador 12</t>
        </is>
      </c>
      <c r="B812" s="8" t="inlineStr">
        <is>
          <t>M19</t>
        </is>
      </c>
      <c r="C812" s="12" t="inlineStr">
        <is>
          <t>España</t>
        </is>
      </c>
      <c r="D812" s="12" t="inlineStr">
        <is>
          <t>Francia</t>
        </is>
      </c>
      <c r="E812" s="8" t="n"/>
      <c r="F812" s="8" t="n"/>
      <c r="G812" s="8">
        <f>IF(OR(ISBLANK(E812),ISBLANK(F812)),"",IF(E812&gt;F812,"Local",IF(E812=F812,"Empate","Visitante")))</f>
        <v/>
      </c>
      <c r="H812" s="8">
        <f>IF(VLOOKUP(B812,PARTIDOS!$A:$I,9,FALSE)="Cerrado",IF(G812=VLOOKUP(B812,PARTIDOS!$A:$I,8,FALSE),IF(AND(E812=VLOOKUP(B812,PARTIDOS!$A:$I,6,FALSE),F812=VLOOKUP(B812,PARTIDOS!$A:$I,7,FALSE)),3,1),0),"")</f>
        <v/>
      </c>
    </row>
    <row r="813" ht="20.1" customHeight="1">
      <c r="A813" s="12" t="inlineStr">
        <is>
          <t>Jugador 12</t>
        </is>
      </c>
      <c r="B813" s="8" t="inlineStr">
        <is>
          <t>M20</t>
        </is>
      </c>
      <c r="C813" s="12" t="inlineStr">
        <is>
          <t>Inglaterra</t>
        </is>
      </c>
      <c r="D813" s="12" t="inlineStr">
        <is>
          <t>Alemania</t>
        </is>
      </c>
      <c r="E813" s="8" t="n"/>
      <c r="F813" s="8" t="n"/>
      <c r="G813" s="8">
        <f>IF(OR(ISBLANK(E813),ISBLANK(F813)),"",IF(E813&gt;F813,"Local",IF(E813=F813,"Empate","Visitante")))</f>
        <v/>
      </c>
      <c r="H813" s="8">
        <f>IF(VLOOKUP(B813,PARTIDOS!$A:$I,9,FALSE)="Cerrado",IF(G813=VLOOKUP(B813,PARTIDOS!$A:$I,8,FALSE),IF(AND(E813=VLOOKUP(B813,PARTIDOS!$A:$I,6,FALSE),F813=VLOOKUP(B813,PARTIDOS!$A:$I,7,FALSE)),3,1),0),"")</f>
        <v/>
      </c>
    </row>
    <row r="814" ht="20.1" customHeight="1">
      <c r="A814" s="12" t="inlineStr">
        <is>
          <t>Jugador 12</t>
        </is>
      </c>
      <c r="B814" s="8" t="inlineStr">
        <is>
          <t>M21</t>
        </is>
      </c>
      <c r="C814" s="12" t="inlineStr">
        <is>
          <t>España</t>
        </is>
      </c>
      <c r="D814" s="12" t="inlineStr">
        <is>
          <t>Inglaterra</t>
        </is>
      </c>
      <c r="E814" s="8" t="n"/>
      <c r="F814" s="8" t="n"/>
      <c r="G814" s="8">
        <f>IF(OR(ISBLANK(E814),ISBLANK(F814)),"",IF(E814&gt;F814,"Local",IF(E814=F814,"Empate","Visitante")))</f>
        <v/>
      </c>
      <c r="H814" s="8">
        <f>IF(VLOOKUP(B814,PARTIDOS!$A:$I,9,FALSE)="Cerrado",IF(G814=VLOOKUP(B814,PARTIDOS!$A:$I,8,FALSE),IF(AND(E814=VLOOKUP(B814,PARTIDOS!$A:$I,6,FALSE),F814=VLOOKUP(B814,PARTIDOS!$A:$I,7,FALSE)),3,1),0),"")</f>
        <v/>
      </c>
    </row>
    <row r="815" ht="20.1" customHeight="1">
      <c r="A815" s="12" t="inlineStr">
        <is>
          <t>Jugador 12</t>
        </is>
      </c>
      <c r="B815" s="8" t="inlineStr">
        <is>
          <t>M22</t>
        </is>
      </c>
      <c r="C815" s="12" t="inlineStr">
        <is>
          <t>Francia</t>
        </is>
      </c>
      <c r="D815" s="12" t="inlineStr">
        <is>
          <t>Alemania</t>
        </is>
      </c>
      <c r="E815" s="8" t="n"/>
      <c r="F815" s="8" t="n"/>
      <c r="G815" s="8">
        <f>IF(OR(ISBLANK(E815),ISBLANK(F815)),"",IF(E815&gt;F815,"Local",IF(E815=F815,"Empate","Visitante")))</f>
        <v/>
      </c>
      <c r="H815" s="8">
        <f>IF(VLOOKUP(B815,PARTIDOS!$A:$I,9,FALSE)="Cerrado",IF(G815=VLOOKUP(B815,PARTIDOS!$A:$I,8,FALSE),IF(AND(E815=VLOOKUP(B815,PARTIDOS!$A:$I,6,FALSE),F815=VLOOKUP(B815,PARTIDOS!$A:$I,7,FALSE)),3,1),0),"")</f>
        <v/>
      </c>
    </row>
    <row r="816" ht="20.1" customHeight="1">
      <c r="A816" s="12" t="inlineStr">
        <is>
          <t>Jugador 12</t>
        </is>
      </c>
      <c r="B816" s="8" t="inlineStr">
        <is>
          <t>M23</t>
        </is>
      </c>
      <c r="C816" s="12" t="inlineStr">
        <is>
          <t>España</t>
        </is>
      </c>
      <c r="D816" s="12" t="inlineStr">
        <is>
          <t>Alemania</t>
        </is>
      </c>
      <c r="E816" s="8" t="n"/>
      <c r="F816" s="8" t="n"/>
      <c r="G816" s="8">
        <f>IF(OR(ISBLANK(E816),ISBLANK(F816)),"",IF(E816&gt;F816,"Local",IF(E816=F816,"Empate","Visitante")))</f>
        <v/>
      </c>
      <c r="H816" s="8">
        <f>IF(VLOOKUP(B816,PARTIDOS!$A:$I,9,FALSE)="Cerrado",IF(G816=VLOOKUP(B816,PARTIDOS!$A:$I,8,FALSE),IF(AND(E816=VLOOKUP(B816,PARTIDOS!$A:$I,6,FALSE),F816=VLOOKUP(B816,PARTIDOS!$A:$I,7,FALSE)),3,1),0),"")</f>
        <v/>
      </c>
    </row>
    <row r="817" ht="20.1" customHeight="1">
      <c r="A817" s="12" t="inlineStr">
        <is>
          <t>Jugador 12</t>
        </is>
      </c>
      <c r="B817" s="8" t="inlineStr">
        <is>
          <t>M24</t>
        </is>
      </c>
      <c r="C817" s="12" t="inlineStr">
        <is>
          <t>Francia</t>
        </is>
      </c>
      <c r="D817" s="12" t="inlineStr">
        <is>
          <t>Inglaterra</t>
        </is>
      </c>
      <c r="E817" s="8" t="n"/>
      <c r="F817" s="8" t="n"/>
      <c r="G817" s="8">
        <f>IF(OR(ISBLANK(E817),ISBLANK(F817)),"",IF(E817&gt;F817,"Local",IF(E817=F817,"Empate","Visitante")))</f>
        <v/>
      </c>
      <c r="H817" s="8">
        <f>IF(VLOOKUP(B817,PARTIDOS!$A:$I,9,FALSE)="Cerrado",IF(G817=VLOOKUP(B817,PARTIDOS!$A:$I,8,FALSE),IF(AND(E817=VLOOKUP(B817,PARTIDOS!$A:$I,6,FALSE),F817=VLOOKUP(B817,PARTIDOS!$A:$I,7,FALSE)),3,1),0),"")</f>
        <v/>
      </c>
    </row>
    <row r="818" ht="20.1" customHeight="1">
      <c r="A818" s="12" t="inlineStr">
        <is>
          <t>Jugador 12</t>
        </is>
      </c>
      <c r="B818" s="8" t="inlineStr">
        <is>
          <t>M25</t>
        </is>
      </c>
      <c r="C818" s="12" t="inlineStr">
        <is>
          <t>Portugal</t>
        </is>
      </c>
      <c r="D818" s="12" t="inlineStr">
        <is>
          <t>Bélgica</t>
        </is>
      </c>
      <c r="E818" s="8" t="n"/>
      <c r="F818" s="8" t="n"/>
      <c r="G818" s="8">
        <f>IF(OR(ISBLANK(E818),ISBLANK(F818)),"",IF(E818&gt;F818,"Local",IF(E818=F818,"Empate","Visitante")))</f>
        <v/>
      </c>
      <c r="H818" s="8">
        <f>IF(VLOOKUP(B818,PARTIDOS!$A:$I,9,FALSE)="Cerrado",IF(G818=VLOOKUP(B818,PARTIDOS!$A:$I,8,FALSE),IF(AND(E818=VLOOKUP(B818,PARTIDOS!$A:$I,6,FALSE),F818=VLOOKUP(B818,PARTIDOS!$A:$I,7,FALSE)),3,1),0),"")</f>
        <v/>
      </c>
    </row>
    <row r="819" ht="20.1" customHeight="1">
      <c r="A819" s="12" t="inlineStr">
        <is>
          <t>Jugador 12</t>
        </is>
      </c>
      <c r="B819" s="8" t="inlineStr">
        <is>
          <t>M26</t>
        </is>
      </c>
      <c r="C819" s="12" t="inlineStr">
        <is>
          <t>Países Bajos</t>
        </is>
      </c>
      <c r="D819" s="12" t="inlineStr">
        <is>
          <t>Italia</t>
        </is>
      </c>
      <c r="E819" s="8" t="n"/>
      <c r="F819" s="8" t="n"/>
      <c r="G819" s="8">
        <f>IF(OR(ISBLANK(E819),ISBLANK(F819)),"",IF(E819&gt;F819,"Local",IF(E819=F819,"Empate","Visitante")))</f>
        <v/>
      </c>
      <c r="H819" s="8">
        <f>IF(VLOOKUP(B819,PARTIDOS!$A:$I,9,FALSE)="Cerrado",IF(G819=VLOOKUP(B819,PARTIDOS!$A:$I,8,FALSE),IF(AND(E819=VLOOKUP(B819,PARTIDOS!$A:$I,6,FALSE),F819=VLOOKUP(B819,PARTIDOS!$A:$I,7,FALSE)),3,1),0),"")</f>
        <v/>
      </c>
    </row>
    <row r="820" ht="20.1" customHeight="1">
      <c r="A820" s="12" t="inlineStr">
        <is>
          <t>Jugador 12</t>
        </is>
      </c>
      <c r="B820" s="8" t="inlineStr">
        <is>
          <t>M27</t>
        </is>
      </c>
      <c r="C820" s="12" t="inlineStr">
        <is>
          <t>Portugal</t>
        </is>
      </c>
      <c r="D820" s="12" t="inlineStr">
        <is>
          <t>Países Bajos</t>
        </is>
      </c>
      <c r="E820" s="8" t="n"/>
      <c r="F820" s="8" t="n"/>
      <c r="G820" s="8">
        <f>IF(OR(ISBLANK(E820),ISBLANK(F820)),"",IF(E820&gt;F820,"Local",IF(E820=F820,"Empate","Visitante")))</f>
        <v/>
      </c>
      <c r="H820" s="8">
        <f>IF(VLOOKUP(B820,PARTIDOS!$A:$I,9,FALSE)="Cerrado",IF(G820=VLOOKUP(B820,PARTIDOS!$A:$I,8,FALSE),IF(AND(E820=VLOOKUP(B820,PARTIDOS!$A:$I,6,FALSE),F820=VLOOKUP(B820,PARTIDOS!$A:$I,7,FALSE)),3,1),0),"")</f>
        <v/>
      </c>
    </row>
    <row r="821" ht="20.1" customHeight="1">
      <c r="A821" s="12" t="inlineStr">
        <is>
          <t>Jugador 12</t>
        </is>
      </c>
      <c r="B821" s="8" t="inlineStr">
        <is>
          <t>M28</t>
        </is>
      </c>
      <c r="C821" s="12" t="inlineStr">
        <is>
          <t>Bélgica</t>
        </is>
      </c>
      <c r="D821" s="12" t="inlineStr">
        <is>
          <t>Italia</t>
        </is>
      </c>
      <c r="E821" s="8" t="n"/>
      <c r="F821" s="8" t="n"/>
      <c r="G821" s="8">
        <f>IF(OR(ISBLANK(E821),ISBLANK(F821)),"",IF(E821&gt;F821,"Local",IF(E821=F821,"Empate","Visitante")))</f>
        <v/>
      </c>
      <c r="H821" s="8">
        <f>IF(VLOOKUP(B821,PARTIDOS!$A:$I,9,FALSE)="Cerrado",IF(G821=VLOOKUP(B821,PARTIDOS!$A:$I,8,FALSE),IF(AND(E821=VLOOKUP(B821,PARTIDOS!$A:$I,6,FALSE),F821=VLOOKUP(B821,PARTIDOS!$A:$I,7,FALSE)),3,1),0),"")</f>
        <v/>
      </c>
    </row>
    <row r="822" ht="20.1" customHeight="1">
      <c r="A822" s="12" t="inlineStr">
        <is>
          <t>Jugador 12</t>
        </is>
      </c>
      <c r="B822" s="8" t="inlineStr">
        <is>
          <t>M29</t>
        </is>
      </c>
      <c r="C822" s="12" t="inlineStr">
        <is>
          <t>Portugal</t>
        </is>
      </c>
      <c r="D822" s="12" t="inlineStr">
        <is>
          <t>Italia</t>
        </is>
      </c>
      <c r="E822" s="8" t="n"/>
      <c r="F822" s="8" t="n"/>
      <c r="G822" s="8">
        <f>IF(OR(ISBLANK(E822),ISBLANK(F822)),"",IF(E822&gt;F822,"Local",IF(E822=F822,"Empate","Visitante")))</f>
        <v/>
      </c>
      <c r="H822" s="8">
        <f>IF(VLOOKUP(B822,PARTIDOS!$A:$I,9,FALSE)="Cerrado",IF(G822=VLOOKUP(B822,PARTIDOS!$A:$I,8,FALSE),IF(AND(E822=VLOOKUP(B822,PARTIDOS!$A:$I,6,FALSE),F822=VLOOKUP(B822,PARTIDOS!$A:$I,7,FALSE)),3,1),0),"")</f>
        <v/>
      </c>
    </row>
    <row r="823" ht="20.1" customHeight="1">
      <c r="A823" s="12" t="inlineStr">
        <is>
          <t>Jugador 12</t>
        </is>
      </c>
      <c r="B823" s="8" t="inlineStr">
        <is>
          <t>M30</t>
        </is>
      </c>
      <c r="C823" s="12" t="inlineStr">
        <is>
          <t>Bélgica</t>
        </is>
      </c>
      <c r="D823" s="12" t="inlineStr">
        <is>
          <t>Países Bajos</t>
        </is>
      </c>
      <c r="E823" s="8" t="n"/>
      <c r="F823" s="8" t="n"/>
      <c r="G823" s="8">
        <f>IF(OR(ISBLANK(E823),ISBLANK(F823)),"",IF(E823&gt;F823,"Local",IF(E823=F823,"Empate","Visitante")))</f>
        <v/>
      </c>
      <c r="H823" s="8">
        <f>IF(VLOOKUP(B823,PARTIDOS!$A:$I,9,FALSE)="Cerrado",IF(G823=VLOOKUP(B823,PARTIDOS!$A:$I,8,FALSE),IF(AND(E823=VLOOKUP(B823,PARTIDOS!$A:$I,6,FALSE),F823=VLOOKUP(B823,PARTIDOS!$A:$I,7,FALSE)),3,1),0),"")</f>
        <v/>
      </c>
    </row>
    <row r="824" ht="20.1" customHeight="1">
      <c r="A824" s="12" t="inlineStr">
        <is>
          <t>Jugador 12</t>
        </is>
      </c>
      <c r="B824" s="8" t="inlineStr">
        <is>
          <t>M31</t>
        </is>
      </c>
      <c r="C824" s="12" t="inlineStr">
        <is>
          <t>Croacia</t>
        </is>
      </c>
      <c r="D824" s="12" t="inlineStr">
        <is>
          <t>Suiza</t>
        </is>
      </c>
      <c r="E824" s="8" t="n"/>
      <c r="F824" s="8" t="n"/>
      <c r="G824" s="8">
        <f>IF(OR(ISBLANK(E824),ISBLANK(F824)),"",IF(E824&gt;F824,"Local",IF(E824=F824,"Empate","Visitante")))</f>
        <v/>
      </c>
      <c r="H824" s="8">
        <f>IF(VLOOKUP(B824,PARTIDOS!$A:$I,9,FALSE)="Cerrado",IF(G824=VLOOKUP(B824,PARTIDOS!$A:$I,8,FALSE),IF(AND(E824=VLOOKUP(B824,PARTIDOS!$A:$I,6,FALSE),F824=VLOOKUP(B824,PARTIDOS!$A:$I,7,FALSE)),3,1),0),"")</f>
        <v/>
      </c>
    </row>
    <row r="825" ht="20.1" customHeight="1">
      <c r="A825" s="12" t="inlineStr">
        <is>
          <t>Jugador 12</t>
        </is>
      </c>
      <c r="B825" s="8" t="inlineStr">
        <is>
          <t>M32</t>
        </is>
      </c>
      <c r="C825" s="12" t="inlineStr">
        <is>
          <t>Dinamarca</t>
        </is>
      </c>
      <c r="D825" s="12" t="inlineStr">
        <is>
          <t>Serbia</t>
        </is>
      </c>
      <c r="E825" s="8" t="n"/>
      <c r="F825" s="8" t="n"/>
      <c r="G825" s="8">
        <f>IF(OR(ISBLANK(E825),ISBLANK(F825)),"",IF(E825&gt;F825,"Local",IF(E825=F825,"Empate","Visitante")))</f>
        <v/>
      </c>
      <c r="H825" s="8">
        <f>IF(VLOOKUP(B825,PARTIDOS!$A:$I,9,FALSE)="Cerrado",IF(G825=VLOOKUP(B825,PARTIDOS!$A:$I,8,FALSE),IF(AND(E825=VLOOKUP(B825,PARTIDOS!$A:$I,6,FALSE),F825=VLOOKUP(B825,PARTIDOS!$A:$I,7,FALSE)),3,1),0),"")</f>
        <v/>
      </c>
    </row>
    <row r="826" ht="20.1" customHeight="1">
      <c r="A826" s="12" t="inlineStr">
        <is>
          <t>Jugador 12</t>
        </is>
      </c>
      <c r="B826" s="8" t="inlineStr">
        <is>
          <t>M33</t>
        </is>
      </c>
      <c r="C826" s="12" t="inlineStr">
        <is>
          <t>Croacia</t>
        </is>
      </c>
      <c r="D826" s="12" t="inlineStr">
        <is>
          <t>Dinamarca</t>
        </is>
      </c>
      <c r="E826" s="8" t="n"/>
      <c r="F826" s="8" t="n"/>
      <c r="G826" s="8">
        <f>IF(OR(ISBLANK(E826),ISBLANK(F826)),"",IF(E826&gt;F826,"Local",IF(E826=F826,"Empate","Visitante")))</f>
        <v/>
      </c>
      <c r="H826" s="8">
        <f>IF(VLOOKUP(B826,PARTIDOS!$A:$I,9,FALSE)="Cerrado",IF(G826=VLOOKUP(B826,PARTIDOS!$A:$I,8,FALSE),IF(AND(E826=VLOOKUP(B826,PARTIDOS!$A:$I,6,FALSE),F826=VLOOKUP(B826,PARTIDOS!$A:$I,7,FALSE)),3,1),0),"")</f>
        <v/>
      </c>
    </row>
    <row r="827" ht="20.1" customHeight="1">
      <c r="A827" s="12" t="inlineStr">
        <is>
          <t>Jugador 12</t>
        </is>
      </c>
      <c r="B827" s="8" t="inlineStr">
        <is>
          <t>M34</t>
        </is>
      </c>
      <c r="C827" s="12" t="inlineStr">
        <is>
          <t>Suiza</t>
        </is>
      </c>
      <c r="D827" s="12" t="inlineStr">
        <is>
          <t>Serbia</t>
        </is>
      </c>
      <c r="E827" s="8" t="n"/>
      <c r="F827" s="8" t="n"/>
      <c r="G827" s="8">
        <f>IF(OR(ISBLANK(E827),ISBLANK(F827)),"",IF(E827&gt;F827,"Local",IF(E827=F827,"Empate","Visitante")))</f>
        <v/>
      </c>
      <c r="H827" s="8">
        <f>IF(VLOOKUP(B827,PARTIDOS!$A:$I,9,FALSE)="Cerrado",IF(G827=VLOOKUP(B827,PARTIDOS!$A:$I,8,FALSE),IF(AND(E827=VLOOKUP(B827,PARTIDOS!$A:$I,6,FALSE),F827=VLOOKUP(B827,PARTIDOS!$A:$I,7,FALSE)),3,1),0),"")</f>
        <v/>
      </c>
    </row>
    <row r="828" ht="20.1" customHeight="1">
      <c r="A828" s="12" t="inlineStr">
        <is>
          <t>Jugador 12</t>
        </is>
      </c>
      <c r="B828" s="8" t="inlineStr">
        <is>
          <t>M35</t>
        </is>
      </c>
      <c r="C828" s="12" t="inlineStr">
        <is>
          <t>Croacia</t>
        </is>
      </c>
      <c r="D828" s="12" t="inlineStr">
        <is>
          <t>Serbia</t>
        </is>
      </c>
      <c r="E828" s="8" t="n"/>
      <c r="F828" s="8" t="n"/>
      <c r="G828" s="8">
        <f>IF(OR(ISBLANK(E828),ISBLANK(F828)),"",IF(E828&gt;F828,"Local",IF(E828=F828,"Empate","Visitante")))</f>
        <v/>
      </c>
      <c r="H828" s="8">
        <f>IF(VLOOKUP(B828,PARTIDOS!$A:$I,9,FALSE)="Cerrado",IF(G828=VLOOKUP(B828,PARTIDOS!$A:$I,8,FALSE),IF(AND(E828=VLOOKUP(B828,PARTIDOS!$A:$I,6,FALSE),F828=VLOOKUP(B828,PARTIDOS!$A:$I,7,FALSE)),3,1),0),"")</f>
        <v/>
      </c>
    </row>
    <row r="829" ht="20.1" customHeight="1">
      <c r="A829" s="12" t="inlineStr">
        <is>
          <t>Jugador 12</t>
        </is>
      </c>
      <c r="B829" s="8" t="inlineStr">
        <is>
          <t>M36</t>
        </is>
      </c>
      <c r="C829" s="12" t="inlineStr">
        <is>
          <t>Suiza</t>
        </is>
      </c>
      <c r="D829" s="12" t="inlineStr">
        <is>
          <t>Dinamarca</t>
        </is>
      </c>
      <c r="E829" s="8" t="n"/>
      <c r="F829" s="8" t="n"/>
      <c r="G829" s="8">
        <f>IF(OR(ISBLANK(E829),ISBLANK(F829)),"",IF(E829&gt;F829,"Local",IF(E829=F829,"Empate","Visitante")))</f>
        <v/>
      </c>
      <c r="H829" s="8">
        <f>IF(VLOOKUP(B829,PARTIDOS!$A:$I,9,FALSE)="Cerrado",IF(G829=VLOOKUP(B829,PARTIDOS!$A:$I,8,FALSE),IF(AND(E829=VLOOKUP(B829,PARTIDOS!$A:$I,6,FALSE),F829=VLOOKUP(B829,PARTIDOS!$A:$I,7,FALSE)),3,1),0),"")</f>
        <v/>
      </c>
    </row>
    <row r="830" ht="20.1" customHeight="1">
      <c r="A830" s="12" t="inlineStr">
        <is>
          <t>Jugador 12</t>
        </is>
      </c>
      <c r="B830" s="8" t="inlineStr">
        <is>
          <t>M37</t>
        </is>
      </c>
      <c r="C830" s="12" t="inlineStr">
        <is>
          <t>Polonia</t>
        </is>
      </c>
      <c r="D830" s="12" t="inlineStr">
        <is>
          <t>Ucrania</t>
        </is>
      </c>
      <c r="E830" s="8" t="n"/>
      <c r="F830" s="8" t="n"/>
      <c r="G830" s="8">
        <f>IF(OR(ISBLANK(E830),ISBLANK(F830)),"",IF(E830&gt;F830,"Local",IF(E830=F830,"Empate","Visitante")))</f>
        <v/>
      </c>
      <c r="H830" s="8">
        <f>IF(VLOOKUP(B830,PARTIDOS!$A:$I,9,FALSE)="Cerrado",IF(G830=VLOOKUP(B830,PARTIDOS!$A:$I,8,FALSE),IF(AND(E830=VLOOKUP(B830,PARTIDOS!$A:$I,6,FALSE),F830=VLOOKUP(B830,PARTIDOS!$A:$I,7,FALSE)),3,1),0),"")</f>
        <v/>
      </c>
    </row>
    <row r="831" ht="20.1" customHeight="1">
      <c r="A831" s="12" t="inlineStr">
        <is>
          <t>Jugador 12</t>
        </is>
      </c>
      <c r="B831" s="8" t="inlineStr">
        <is>
          <t>M38</t>
        </is>
      </c>
      <c r="C831" s="12" t="inlineStr">
        <is>
          <t>Suecia</t>
        </is>
      </c>
      <c r="D831" s="12" t="inlineStr">
        <is>
          <t>Gales</t>
        </is>
      </c>
      <c r="E831" s="8" t="n"/>
      <c r="F831" s="8" t="n"/>
      <c r="G831" s="8">
        <f>IF(OR(ISBLANK(E831),ISBLANK(F831)),"",IF(E831&gt;F831,"Local",IF(E831=F831,"Empate","Visitante")))</f>
        <v/>
      </c>
      <c r="H831" s="8">
        <f>IF(VLOOKUP(B831,PARTIDOS!$A:$I,9,FALSE)="Cerrado",IF(G831=VLOOKUP(B831,PARTIDOS!$A:$I,8,FALSE),IF(AND(E831=VLOOKUP(B831,PARTIDOS!$A:$I,6,FALSE),F831=VLOOKUP(B831,PARTIDOS!$A:$I,7,FALSE)),3,1),0),"")</f>
        <v/>
      </c>
    </row>
    <row r="832" ht="20.1" customHeight="1">
      <c r="A832" s="12" t="inlineStr">
        <is>
          <t>Jugador 12</t>
        </is>
      </c>
      <c r="B832" s="8" t="inlineStr">
        <is>
          <t>M39</t>
        </is>
      </c>
      <c r="C832" s="12" t="inlineStr">
        <is>
          <t>Polonia</t>
        </is>
      </c>
      <c r="D832" s="12" t="inlineStr">
        <is>
          <t>Suecia</t>
        </is>
      </c>
      <c r="E832" s="8" t="n"/>
      <c r="F832" s="8" t="n"/>
      <c r="G832" s="8">
        <f>IF(OR(ISBLANK(E832),ISBLANK(F832)),"",IF(E832&gt;F832,"Local",IF(E832=F832,"Empate","Visitante")))</f>
        <v/>
      </c>
      <c r="H832" s="8">
        <f>IF(VLOOKUP(B832,PARTIDOS!$A:$I,9,FALSE)="Cerrado",IF(G832=VLOOKUP(B832,PARTIDOS!$A:$I,8,FALSE),IF(AND(E832=VLOOKUP(B832,PARTIDOS!$A:$I,6,FALSE),F832=VLOOKUP(B832,PARTIDOS!$A:$I,7,FALSE)),3,1),0),"")</f>
        <v/>
      </c>
    </row>
    <row r="833" ht="20.1" customHeight="1">
      <c r="A833" s="12" t="inlineStr">
        <is>
          <t>Jugador 12</t>
        </is>
      </c>
      <c r="B833" s="8" t="inlineStr">
        <is>
          <t>M40</t>
        </is>
      </c>
      <c r="C833" s="12" t="inlineStr">
        <is>
          <t>Ucrania</t>
        </is>
      </c>
      <c r="D833" s="12" t="inlineStr">
        <is>
          <t>Gales</t>
        </is>
      </c>
      <c r="E833" s="8" t="n"/>
      <c r="F833" s="8" t="n"/>
      <c r="G833" s="8">
        <f>IF(OR(ISBLANK(E833),ISBLANK(F833)),"",IF(E833&gt;F833,"Local",IF(E833=F833,"Empate","Visitante")))</f>
        <v/>
      </c>
      <c r="H833" s="8">
        <f>IF(VLOOKUP(B833,PARTIDOS!$A:$I,9,FALSE)="Cerrado",IF(G833=VLOOKUP(B833,PARTIDOS!$A:$I,8,FALSE),IF(AND(E833=VLOOKUP(B833,PARTIDOS!$A:$I,6,FALSE),F833=VLOOKUP(B833,PARTIDOS!$A:$I,7,FALSE)),3,1),0),"")</f>
        <v/>
      </c>
    </row>
    <row r="834" ht="20.1" customHeight="1">
      <c r="A834" s="12" t="inlineStr">
        <is>
          <t>Jugador 12</t>
        </is>
      </c>
      <c r="B834" s="8" t="inlineStr">
        <is>
          <t>M41</t>
        </is>
      </c>
      <c r="C834" s="12" t="inlineStr">
        <is>
          <t>Polonia</t>
        </is>
      </c>
      <c r="D834" s="12" t="inlineStr">
        <is>
          <t>Gales</t>
        </is>
      </c>
      <c r="E834" s="8" t="n"/>
      <c r="F834" s="8" t="n"/>
      <c r="G834" s="8">
        <f>IF(OR(ISBLANK(E834),ISBLANK(F834)),"",IF(E834&gt;F834,"Local",IF(E834=F834,"Empate","Visitante")))</f>
        <v/>
      </c>
      <c r="H834" s="8">
        <f>IF(VLOOKUP(B834,PARTIDOS!$A:$I,9,FALSE)="Cerrado",IF(G834=VLOOKUP(B834,PARTIDOS!$A:$I,8,FALSE),IF(AND(E834=VLOOKUP(B834,PARTIDOS!$A:$I,6,FALSE),F834=VLOOKUP(B834,PARTIDOS!$A:$I,7,FALSE)),3,1),0),"")</f>
        <v/>
      </c>
    </row>
    <row r="835" ht="20.1" customHeight="1">
      <c r="A835" s="12" t="inlineStr">
        <is>
          <t>Jugador 12</t>
        </is>
      </c>
      <c r="B835" s="8" t="inlineStr">
        <is>
          <t>M42</t>
        </is>
      </c>
      <c r="C835" s="12" t="inlineStr">
        <is>
          <t>Ucrania</t>
        </is>
      </c>
      <c r="D835" s="12" t="inlineStr">
        <is>
          <t>Suecia</t>
        </is>
      </c>
      <c r="E835" s="8" t="n"/>
      <c r="F835" s="8" t="n"/>
      <c r="G835" s="8">
        <f>IF(OR(ISBLANK(E835),ISBLANK(F835)),"",IF(E835&gt;F835,"Local",IF(E835=F835,"Empate","Visitante")))</f>
        <v/>
      </c>
      <c r="H835" s="8">
        <f>IF(VLOOKUP(B835,PARTIDOS!$A:$I,9,FALSE)="Cerrado",IF(G835=VLOOKUP(B835,PARTIDOS!$A:$I,8,FALSE),IF(AND(E835=VLOOKUP(B835,PARTIDOS!$A:$I,6,FALSE),F835=VLOOKUP(B835,PARTIDOS!$A:$I,7,FALSE)),3,1),0),"")</f>
        <v/>
      </c>
    </row>
    <row r="836" ht="20.1" customHeight="1">
      <c r="A836" s="12" t="inlineStr">
        <is>
          <t>Jugador 12</t>
        </is>
      </c>
      <c r="B836" s="8" t="inlineStr">
        <is>
          <t>M43</t>
        </is>
      </c>
      <c r="C836" s="12" t="inlineStr">
        <is>
          <t>Austria</t>
        </is>
      </c>
      <c r="D836" s="12" t="inlineStr">
        <is>
          <t>Hungría</t>
        </is>
      </c>
      <c r="E836" s="8" t="n"/>
      <c r="F836" s="8" t="n"/>
      <c r="G836" s="8">
        <f>IF(OR(ISBLANK(E836),ISBLANK(F836)),"",IF(E836&gt;F836,"Local",IF(E836=F836,"Empate","Visitante")))</f>
        <v/>
      </c>
      <c r="H836" s="8">
        <f>IF(VLOOKUP(B836,PARTIDOS!$A:$I,9,FALSE)="Cerrado",IF(G836=VLOOKUP(B836,PARTIDOS!$A:$I,8,FALSE),IF(AND(E836=VLOOKUP(B836,PARTIDOS!$A:$I,6,FALSE),F836=VLOOKUP(B836,PARTIDOS!$A:$I,7,FALSE)),3,1),0),"")</f>
        <v/>
      </c>
    </row>
    <row r="837" ht="20.1" customHeight="1">
      <c r="A837" s="12" t="inlineStr">
        <is>
          <t>Jugador 12</t>
        </is>
      </c>
      <c r="B837" s="8" t="inlineStr">
        <is>
          <t>M44</t>
        </is>
      </c>
      <c r="C837" s="12" t="inlineStr">
        <is>
          <t>Turquía</t>
        </is>
      </c>
      <c r="D837" s="12" t="inlineStr">
        <is>
          <t>Escocia</t>
        </is>
      </c>
      <c r="E837" s="8" t="n"/>
      <c r="F837" s="8" t="n"/>
      <c r="G837" s="8">
        <f>IF(OR(ISBLANK(E837),ISBLANK(F837)),"",IF(E837&gt;F837,"Local",IF(E837=F837,"Empate","Visitante")))</f>
        <v/>
      </c>
      <c r="H837" s="8">
        <f>IF(VLOOKUP(B837,PARTIDOS!$A:$I,9,FALSE)="Cerrado",IF(G837=VLOOKUP(B837,PARTIDOS!$A:$I,8,FALSE),IF(AND(E837=VLOOKUP(B837,PARTIDOS!$A:$I,6,FALSE),F837=VLOOKUP(B837,PARTIDOS!$A:$I,7,FALSE)),3,1),0),"")</f>
        <v/>
      </c>
    </row>
    <row r="838" ht="20.1" customHeight="1">
      <c r="A838" s="12" t="inlineStr">
        <is>
          <t>Jugador 12</t>
        </is>
      </c>
      <c r="B838" s="8" t="inlineStr">
        <is>
          <t>M45</t>
        </is>
      </c>
      <c r="C838" s="12" t="inlineStr">
        <is>
          <t>Austria</t>
        </is>
      </c>
      <c r="D838" s="12" t="inlineStr">
        <is>
          <t>Turquía</t>
        </is>
      </c>
      <c r="E838" s="8" t="n"/>
      <c r="F838" s="8" t="n"/>
      <c r="G838" s="8">
        <f>IF(OR(ISBLANK(E838),ISBLANK(F838)),"",IF(E838&gt;F838,"Local",IF(E838=F838,"Empate","Visitante")))</f>
        <v/>
      </c>
      <c r="H838" s="8">
        <f>IF(VLOOKUP(B838,PARTIDOS!$A:$I,9,FALSE)="Cerrado",IF(G838=VLOOKUP(B838,PARTIDOS!$A:$I,8,FALSE),IF(AND(E838=VLOOKUP(B838,PARTIDOS!$A:$I,6,FALSE),F838=VLOOKUP(B838,PARTIDOS!$A:$I,7,FALSE)),3,1),0),"")</f>
        <v/>
      </c>
    </row>
    <row r="839" ht="20.1" customHeight="1">
      <c r="A839" s="12" t="inlineStr">
        <is>
          <t>Jugador 12</t>
        </is>
      </c>
      <c r="B839" s="8" t="inlineStr">
        <is>
          <t>M46</t>
        </is>
      </c>
      <c r="C839" s="12" t="inlineStr">
        <is>
          <t>Hungría</t>
        </is>
      </c>
      <c r="D839" s="12" t="inlineStr">
        <is>
          <t>Escocia</t>
        </is>
      </c>
      <c r="E839" s="8" t="n"/>
      <c r="F839" s="8" t="n"/>
      <c r="G839" s="8">
        <f>IF(OR(ISBLANK(E839),ISBLANK(F839)),"",IF(E839&gt;F839,"Local",IF(E839=F839,"Empate","Visitante")))</f>
        <v/>
      </c>
      <c r="H839" s="8">
        <f>IF(VLOOKUP(B839,PARTIDOS!$A:$I,9,FALSE)="Cerrado",IF(G839=VLOOKUP(B839,PARTIDOS!$A:$I,8,FALSE),IF(AND(E839=VLOOKUP(B839,PARTIDOS!$A:$I,6,FALSE),F839=VLOOKUP(B839,PARTIDOS!$A:$I,7,FALSE)),3,1),0),"")</f>
        <v/>
      </c>
    </row>
    <row r="840" ht="20.1" customHeight="1">
      <c r="A840" s="12" t="inlineStr">
        <is>
          <t>Jugador 12</t>
        </is>
      </c>
      <c r="B840" s="8" t="inlineStr">
        <is>
          <t>M47</t>
        </is>
      </c>
      <c r="C840" s="12" t="inlineStr">
        <is>
          <t>Austria</t>
        </is>
      </c>
      <c r="D840" s="12" t="inlineStr">
        <is>
          <t>Escocia</t>
        </is>
      </c>
      <c r="E840" s="8" t="n"/>
      <c r="F840" s="8" t="n"/>
      <c r="G840" s="8">
        <f>IF(OR(ISBLANK(E840),ISBLANK(F840)),"",IF(E840&gt;F840,"Local",IF(E840=F840,"Empate","Visitante")))</f>
        <v/>
      </c>
      <c r="H840" s="8">
        <f>IF(VLOOKUP(B840,PARTIDOS!$A:$I,9,FALSE)="Cerrado",IF(G840=VLOOKUP(B840,PARTIDOS!$A:$I,8,FALSE),IF(AND(E840=VLOOKUP(B840,PARTIDOS!$A:$I,6,FALSE),F840=VLOOKUP(B840,PARTIDOS!$A:$I,7,FALSE)),3,1),0),"")</f>
        <v/>
      </c>
    </row>
    <row r="841" ht="20.1" customHeight="1">
      <c r="A841" s="12" t="inlineStr">
        <is>
          <t>Jugador 12</t>
        </is>
      </c>
      <c r="B841" s="8" t="inlineStr">
        <is>
          <t>M48</t>
        </is>
      </c>
      <c r="C841" s="12" t="inlineStr">
        <is>
          <t>Hungría</t>
        </is>
      </c>
      <c r="D841" s="12" t="inlineStr">
        <is>
          <t>Turquía</t>
        </is>
      </c>
      <c r="E841" s="8" t="n"/>
      <c r="F841" s="8" t="n"/>
      <c r="G841" s="8">
        <f>IF(OR(ISBLANK(E841),ISBLANK(F841)),"",IF(E841&gt;F841,"Local",IF(E841=F841,"Empate","Visitante")))</f>
        <v/>
      </c>
      <c r="H841" s="8">
        <f>IF(VLOOKUP(B841,PARTIDOS!$A:$I,9,FALSE)="Cerrado",IF(G841=VLOOKUP(B841,PARTIDOS!$A:$I,8,FALSE),IF(AND(E841=VLOOKUP(B841,PARTIDOS!$A:$I,6,FALSE),F841=VLOOKUP(B841,PARTIDOS!$A:$I,7,FALSE)),3,1),0),"")</f>
        <v/>
      </c>
    </row>
    <row r="842" ht="20.1" customHeight="1">
      <c r="A842" s="12" t="inlineStr">
        <is>
          <t>Jugador 12</t>
        </is>
      </c>
      <c r="B842" s="8" t="inlineStr">
        <is>
          <t>M49</t>
        </is>
      </c>
      <c r="C842" s="12" t="inlineStr">
        <is>
          <t>República Checa</t>
        </is>
      </c>
      <c r="D842" s="12" t="inlineStr">
        <is>
          <t>Noruega</t>
        </is>
      </c>
      <c r="E842" s="8" t="n"/>
      <c r="F842" s="8" t="n"/>
      <c r="G842" s="8">
        <f>IF(OR(ISBLANK(E842),ISBLANK(F842)),"",IF(E842&gt;F842,"Local",IF(E842=F842,"Empate","Visitante")))</f>
        <v/>
      </c>
      <c r="H842" s="8">
        <f>IF(VLOOKUP(B842,PARTIDOS!$A:$I,9,FALSE)="Cerrado",IF(G842=VLOOKUP(B842,PARTIDOS!$A:$I,8,FALSE),IF(AND(E842=VLOOKUP(B842,PARTIDOS!$A:$I,6,FALSE),F842=VLOOKUP(B842,PARTIDOS!$A:$I,7,FALSE)),3,1),0),"")</f>
        <v/>
      </c>
    </row>
    <row r="843" ht="20.1" customHeight="1">
      <c r="A843" s="12" t="inlineStr">
        <is>
          <t>Jugador 12</t>
        </is>
      </c>
      <c r="B843" s="8" t="inlineStr">
        <is>
          <t>M50</t>
        </is>
      </c>
      <c r="C843" s="12" t="inlineStr">
        <is>
          <t>Japón</t>
        </is>
      </c>
      <c r="D843" s="12" t="inlineStr">
        <is>
          <t>Irán</t>
        </is>
      </c>
      <c r="E843" s="8" t="n"/>
      <c r="F843" s="8" t="n"/>
      <c r="G843" s="8">
        <f>IF(OR(ISBLANK(E843),ISBLANK(F843)),"",IF(E843&gt;F843,"Local",IF(E843=F843,"Empate","Visitante")))</f>
        <v/>
      </c>
      <c r="H843" s="8">
        <f>IF(VLOOKUP(B843,PARTIDOS!$A:$I,9,FALSE)="Cerrado",IF(G843=VLOOKUP(B843,PARTIDOS!$A:$I,8,FALSE),IF(AND(E843=VLOOKUP(B843,PARTIDOS!$A:$I,6,FALSE),F843=VLOOKUP(B843,PARTIDOS!$A:$I,7,FALSE)),3,1),0),"")</f>
        <v/>
      </c>
    </row>
    <row r="844" ht="20.1" customHeight="1">
      <c r="A844" s="12" t="inlineStr">
        <is>
          <t>Jugador 12</t>
        </is>
      </c>
      <c r="B844" s="8" t="inlineStr">
        <is>
          <t>M51</t>
        </is>
      </c>
      <c r="C844" s="12" t="inlineStr">
        <is>
          <t>República Checa</t>
        </is>
      </c>
      <c r="D844" s="12" t="inlineStr">
        <is>
          <t>Japón</t>
        </is>
      </c>
      <c r="E844" s="8" t="n"/>
      <c r="F844" s="8" t="n"/>
      <c r="G844" s="8">
        <f>IF(OR(ISBLANK(E844),ISBLANK(F844)),"",IF(E844&gt;F844,"Local",IF(E844=F844,"Empate","Visitante")))</f>
        <v/>
      </c>
      <c r="H844" s="8">
        <f>IF(VLOOKUP(B844,PARTIDOS!$A:$I,9,FALSE)="Cerrado",IF(G844=VLOOKUP(B844,PARTIDOS!$A:$I,8,FALSE),IF(AND(E844=VLOOKUP(B844,PARTIDOS!$A:$I,6,FALSE),F844=VLOOKUP(B844,PARTIDOS!$A:$I,7,FALSE)),3,1),0),"")</f>
        <v/>
      </c>
    </row>
    <row r="845" ht="20.1" customHeight="1">
      <c r="A845" s="12" t="inlineStr">
        <is>
          <t>Jugador 12</t>
        </is>
      </c>
      <c r="B845" s="8" t="inlineStr">
        <is>
          <t>M52</t>
        </is>
      </c>
      <c r="C845" s="12" t="inlineStr">
        <is>
          <t>Noruega</t>
        </is>
      </c>
      <c r="D845" s="12" t="inlineStr">
        <is>
          <t>Irán</t>
        </is>
      </c>
      <c r="E845" s="8" t="n"/>
      <c r="F845" s="8" t="n"/>
      <c r="G845" s="8">
        <f>IF(OR(ISBLANK(E845),ISBLANK(F845)),"",IF(E845&gt;F845,"Local",IF(E845=F845,"Empate","Visitante")))</f>
        <v/>
      </c>
      <c r="H845" s="8">
        <f>IF(VLOOKUP(B845,PARTIDOS!$A:$I,9,FALSE)="Cerrado",IF(G845=VLOOKUP(B845,PARTIDOS!$A:$I,8,FALSE),IF(AND(E845=VLOOKUP(B845,PARTIDOS!$A:$I,6,FALSE),F845=VLOOKUP(B845,PARTIDOS!$A:$I,7,FALSE)),3,1),0),"")</f>
        <v/>
      </c>
    </row>
    <row r="846" ht="20.1" customHeight="1">
      <c r="A846" s="12" t="inlineStr">
        <is>
          <t>Jugador 12</t>
        </is>
      </c>
      <c r="B846" s="8" t="inlineStr">
        <is>
          <t>M53</t>
        </is>
      </c>
      <c r="C846" s="12" t="inlineStr">
        <is>
          <t>República Checa</t>
        </is>
      </c>
      <c r="D846" s="12" t="inlineStr">
        <is>
          <t>Irán</t>
        </is>
      </c>
      <c r="E846" s="8" t="n"/>
      <c r="F846" s="8" t="n"/>
      <c r="G846" s="8">
        <f>IF(OR(ISBLANK(E846),ISBLANK(F846)),"",IF(E846&gt;F846,"Local",IF(E846=F846,"Empate","Visitante")))</f>
        <v/>
      </c>
      <c r="H846" s="8">
        <f>IF(VLOOKUP(B846,PARTIDOS!$A:$I,9,FALSE)="Cerrado",IF(G846=VLOOKUP(B846,PARTIDOS!$A:$I,8,FALSE),IF(AND(E846=VLOOKUP(B846,PARTIDOS!$A:$I,6,FALSE),F846=VLOOKUP(B846,PARTIDOS!$A:$I,7,FALSE)),3,1),0),"")</f>
        <v/>
      </c>
    </row>
    <row r="847" ht="20.1" customHeight="1">
      <c r="A847" s="12" t="inlineStr">
        <is>
          <t>Jugador 12</t>
        </is>
      </c>
      <c r="B847" s="8" t="inlineStr">
        <is>
          <t>M54</t>
        </is>
      </c>
      <c r="C847" s="12" t="inlineStr">
        <is>
          <t>Noruega</t>
        </is>
      </c>
      <c r="D847" s="12" t="inlineStr">
        <is>
          <t>Japón</t>
        </is>
      </c>
      <c r="E847" s="8" t="n"/>
      <c r="F847" s="8" t="n"/>
      <c r="G847" s="8">
        <f>IF(OR(ISBLANK(E847),ISBLANK(F847)),"",IF(E847&gt;F847,"Local",IF(E847=F847,"Empate","Visitante")))</f>
        <v/>
      </c>
      <c r="H847" s="8">
        <f>IF(VLOOKUP(B847,PARTIDOS!$A:$I,9,FALSE)="Cerrado",IF(G847=VLOOKUP(B847,PARTIDOS!$A:$I,8,FALSE),IF(AND(E847=VLOOKUP(B847,PARTIDOS!$A:$I,6,FALSE),F847=VLOOKUP(B847,PARTIDOS!$A:$I,7,FALSE)),3,1),0),"")</f>
        <v/>
      </c>
    </row>
    <row r="848" ht="20.1" customHeight="1">
      <c r="A848" s="12" t="inlineStr">
        <is>
          <t>Jugador 12</t>
        </is>
      </c>
      <c r="B848" s="8" t="inlineStr">
        <is>
          <t>M55</t>
        </is>
      </c>
      <c r="C848" s="12" t="inlineStr">
        <is>
          <t>Corea del Sur</t>
        </is>
      </c>
      <c r="D848" s="12" t="inlineStr">
        <is>
          <t>Australia</t>
        </is>
      </c>
      <c r="E848" s="8" t="n"/>
      <c r="F848" s="8" t="n"/>
      <c r="G848" s="8">
        <f>IF(OR(ISBLANK(E848),ISBLANK(F848)),"",IF(E848&gt;F848,"Local",IF(E848=F848,"Empate","Visitante")))</f>
        <v/>
      </c>
      <c r="H848" s="8">
        <f>IF(VLOOKUP(B848,PARTIDOS!$A:$I,9,FALSE)="Cerrado",IF(G848=VLOOKUP(B848,PARTIDOS!$A:$I,8,FALSE),IF(AND(E848=VLOOKUP(B848,PARTIDOS!$A:$I,6,FALSE),F848=VLOOKUP(B848,PARTIDOS!$A:$I,7,FALSE)),3,1),0),"")</f>
        <v/>
      </c>
    </row>
    <row r="849" ht="20.1" customHeight="1">
      <c r="A849" s="12" t="inlineStr">
        <is>
          <t>Jugador 12</t>
        </is>
      </c>
      <c r="B849" s="8" t="inlineStr">
        <is>
          <t>M56</t>
        </is>
      </c>
      <c r="C849" s="12" t="inlineStr">
        <is>
          <t>Marruecos</t>
        </is>
      </c>
      <c r="D849" s="12" t="inlineStr">
        <is>
          <t>Senegal</t>
        </is>
      </c>
      <c r="E849" s="8" t="n"/>
      <c r="F849" s="8" t="n"/>
      <c r="G849" s="8">
        <f>IF(OR(ISBLANK(E849),ISBLANK(F849)),"",IF(E849&gt;F849,"Local",IF(E849=F849,"Empate","Visitante")))</f>
        <v/>
      </c>
      <c r="H849" s="8">
        <f>IF(VLOOKUP(B849,PARTIDOS!$A:$I,9,FALSE)="Cerrado",IF(G849=VLOOKUP(B849,PARTIDOS!$A:$I,8,FALSE),IF(AND(E849=VLOOKUP(B849,PARTIDOS!$A:$I,6,FALSE),F849=VLOOKUP(B849,PARTIDOS!$A:$I,7,FALSE)),3,1),0),"")</f>
        <v/>
      </c>
    </row>
    <row r="850" ht="20.1" customHeight="1">
      <c r="A850" s="12" t="inlineStr">
        <is>
          <t>Jugador 12</t>
        </is>
      </c>
      <c r="B850" s="8" t="inlineStr">
        <is>
          <t>M57</t>
        </is>
      </c>
      <c r="C850" s="12" t="inlineStr">
        <is>
          <t>Corea del Sur</t>
        </is>
      </c>
      <c r="D850" s="12" t="inlineStr">
        <is>
          <t>Marruecos</t>
        </is>
      </c>
      <c r="E850" s="8" t="n"/>
      <c r="F850" s="8" t="n"/>
      <c r="G850" s="8">
        <f>IF(OR(ISBLANK(E850),ISBLANK(F850)),"",IF(E850&gt;F850,"Local",IF(E850=F850,"Empate","Visitante")))</f>
        <v/>
      </c>
      <c r="H850" s="8">
        <f>IF(VLOOKUP(B850,PARTIDOS!$A:$I,9,FALSE)="Cerrado",IF(G850=VLOOKUP(B850,PARTIDOS!$A:$I,8,FALSE),IF(AND(E850=VLOOKUP(B850,PARTIDOS!$A:$I,6,FALSE),F850=VLOOKUP(B850,PARTIDOS!$A:$I,7,FALSE)),3,1),0),"")</f>
        <v/>
      </c>
    </row>
    <row r="851" ht="20.1" customHeight="1">
      <c r="A851" s="12" t="inlineStr">
        <is>
          <t>Jugador 12</t>
        </is>
      </c>
      <c r="B851" s="8" t="inlineStr">
        <is>
          <t>M58</t>
        </is>
      </c>
      <c r="C851" s="12" t="inlineStr">
        <is>
          <t>Australia</t>
        </is>
      </c>
      <c r="D851" s="12" t="inlineStr">
        <is>
          <t>Senegal</t>
        </is>
      </c>
      <c r="E851" s="8" t="n"/>
      <c r="F851" s="8" t="n"/>
      <c r="G851" s="8">
        <f>IF(OR(ISBLANK(E851),ISBLANK(F851)),"",IF(E851&gt;F851,"Local",IF(E851=F851,"Empate","Visitante")))</f>
        <v/>
      </c>
      <c r="H851" s="8">
        <f>IF(VLOOKUP(B851,PARTIDOS!$A:$I,9,FALSE)="Cerrado",IF(G851=VLOOKUP(B851,PARTIDOS!$A:$I,8,FALSE),IF(AND(E851=VLOOKUP(B851,PARTIDOS!$A:$I,6,FALSE),F851=VLOOKUP(B851,PARTIDOS!$A:$I,7,FALSE)),3,1),0),"")</f>
        <v/>
      </c>
    </row>
    <row r="852" ht="20.1" customHeight="1">
      <c r="A852" s="12" t="inlineStr">
        <is>
          <t>Jugador 12</t>
        </is>
      </c>
      <c r="B852" s="8" t="inlineStr">
        <is>
          <t>M59</t>
        </is>
      </c>
      <c r="C852" s="12" t="inlineStr">
        <is>
          <t>Corea del Sur</t>
        </is>
      </c>
      <c r="D852" s="12" t="inlineStr">
        <is>
          <t>Senegal</t>
        </is>
      </c>
      <c r="E852" s="8" t="n"/>
      <c r="F852" s="8" t="n"/>
      <c r="G852" s="8">
        <f>IF(OR(ISBLANK(E852),ISBLANK(F852)),"",IF(E852&gt;F852,"Local",IF(E852=F852,"Empate","Visitante")))</f>
        <v/>
      </c>
      <c r="H852" s="8">
        <f>IF(VLOOKUP(B852,PARTIDOS!$A:$I,9,FALSE)="Cerrado",IF(G852=VLOOKUP(B852,PARTIDOS!$A:$I,8,FALSE),IF(AND(E852=VLOOKUP(B852,PARTIDOS!$A:$I,6,FALSE),F852=VLOOKUP(B852,PARTIDOS!$A:$I,7,FALSE)),3,1),0),"")</f>
        <v/>
      </c>
    </row>
    <row r="853" ht="20.1" customHeight="1">
      <c r="A853" s="12" t="inlineStr">
        <is>
          <t>Jugador 12</t>
        </is>
      </c>
      <c r="B853" s="8" t="inlineStr">
        <is>
          <t>M60</t>
        </is>
      </c>
      <c r="C853" s="12" t="inlineStr">
        <is>
          <t>Australia</t>
        </is>
      </c>
      <c r="D853" s="12" t="inlineStr">
        <is>
          <t>Marruecos</t>
        </is>
      </c>
      <c r="E853" s="8" t="n"/>
      <c r="F853" s="8" t="n"/>
      <c r="G853" s="8">
        <f>IF(OR(ISBLANK(E853),ISBLANK(F853)),"",IF(E853&gt;F853,"Local",IF(E853=F853,"Empate","Visitante")))</f>
        <v/>
      </c>
      <c r="H853" s="8">
        <f>IF(VLOOKUP(B853,PARTIDOS!$A:$I,9,FALSE)="Cerrado",IF(G853=VLOOKUP(B853,PARTIDOS!$A:$I,8,FALSE),IF(AND(E853=VLOOKUP(B853,PARTIDOS!$A:$I,6,FALSE),F853=VLOOKUP(B853,PARTIDOS!$A:$I,7,FALSE)),3,1),0),"")</f>
        <v/>
      </c>
    </row>
    <row r="854" ht="20.1" customHeight="1">
      <c r="A854" s="12" t="inlineStr">
        <is>
          <t>Jugador 12</t>
        </is>
      </c>
      <c r="B854" s="8" t="inlineStr">
        <is>
          <t>M61</t>
        </is>
      </c>
      <c r="C854" s="12" t="inlineStr">
        <is>
          <t>Túnez</t>
        </is>
      </c>
      <c r="D854" s="12" t="inlineStr">
        <is>
          <t>Nigeria</t>
        </is>
      </c>
      <c r="E854" s="8" t="n"/>
      <c r="F854" s="8" t="n"/>
      <c r="G854" s="8">
        <f>IF(OR(ISBLANK(E854),ISBLANK(F854)),"",IF(E854&gt;F854,"Local",IF(E854=F854,"Empate","Visitante")))</f>
        <v/>
      </c>
      <c r="H854" s="8">
        <f>IF(VLOOKUP(B854,PARTIDOS!$A:$I,9,FALSE)="Cerrado",IF(G854=VLOOKUP(B854,PARTIDOS!$A:$I,8,FALSE),IF(AND(E854=VLOOKUP(B854,PARTIDOS!$A:$I,6,FALSE),F854=VLOOKUP(B854,PARTIDOS!$A:$I,7,FALSE)),3,1),0),"")</f>
        <v/>
      </c>
    </row>
    <row r="855" ht="20.1" customHeight="1">
      <c r="A855" s="12" t="inlineStr">
        <is>
          <t>Jugador 12</t>
        </is>
      </c>
      <c r="B855" s="8" t="inlineStr">
        <is>
          <t>M62</t>
        </is>
      </c>
      <c r="C855" s="12" t="inlineStr">
        <is>
          <t>Camerún</t>
        </is>
      </c>
      <c r="D855" s="12" t="inlineStr">
        <is>
          <t>Egipto</t>
        </is>
      </c>
      <c r="E855" s="8" t="n"/>
      <c r="F855" s="8" t="n"/>
      <c r="G855" s="8">
        <f>IF(OR(ISBLANK(E855),ISBLANK(F855)),"",IF(E855&gt;F855,"Local",IF(E855=F855,"Empate","Visitante")))</f>
        <v/>
      </c>
      <c r="H855" s="8">
        <f>IF(VLOOKUP(B855,PARTIDOS!$A:$I,9,FALSE)="Cerrado",IF(G855=VLOOKUP(B855,PARTIDOS!$A:$I,8,FALSE),IF(AND(E855=VLOOKUP(B855,PARTIDOS!$A:$I,6,FALSE),F855=VLOOKUP(B855,PARTIDOS!$A:$I,7,FALSE)),3,1),0),"")</f>
        <v/>
      </c>
    </row>
    <row r="856" ht="20.1" customHeight="1">
      <c r="A856" s="12" t="inlineStr">
        <is>
          <t>Jugador 12</t>
        </is>
      </c>
      <c r="B856" s="8" t="inlineStr">
        <is>
          <t>M63</t>
        </is>
      </c>
      <c r="C856" s="12" t="inlineStr">
        <is>
          <t>Túnez</t>
        </is>
      </c>
      <c r="D856" s="12" t="inlineStr">
        <is>
          <t>Camerún</t>
        </is>
      </c>
      <c r="E856" s="8" t="n"/>
      <c r="F856" s="8" t="n"/>
      <c r="G856" s="8">
        <f>IF(OR(ISBLANK(E856),ISBLANK(F856)),"",IF(E856&gt;F856,"Local",IF(E856=F856,"Empate","Visitante")))</f>
        <v/>
      </c>
      <c r="H856" s="8">
        <f>IF(VLOOKUP(B856,PARTIDOS!$A:$I,9,FALSE)="Cerrado",IF(G856=VLOOKUP(B856,PARTIDOS!$A:$I,8,FALSE),IF(AND(E856=VLOOKUP(B856,PARTIDOS!$A:$I,6,FALSE),F856=VLOOKUP(B856,PARTIDOS!$A:$I,7,FALSE)),3,1),0),"")</f>
        <v/>
      </c>
    </row>
    <row r="857" ht="20.1" customHeight="1">
      <c r="A857" s="12" t="inlineStr">
        <is>
          <t>Jugador 12</t>
        </is>
      </c>
      <c r="B857" s="8" t="inlineStr">
        <is>
          <t>M64</t>
        </is>
      </c>
      <c r="C857" s="12" t="inlineStr">
        <is>
          <t>Nigeria</t>
        </is>
      </c>
      <c r="D857" s="12" t="inlineStr">
        <is>
          <t>Egipto</t>
        </is>
      </c>
      <c r="E857" s="8" t="n"/>
      <c r="F857" s="8" t="n"/>
      <c r="G857" s="8">
        <f>IF(OR(ISBLANK(E857),ISBLANK(F857)),"",IF(E857&gt;F857,"Local",IF(E857=F857,"Empate","Visitante")))</f>
        <v/>
      </c>
      <c r="H857" s="8">
        <f>IF(VLOOKUP(B857,PARTIDOS!$A:$I,9,FALSE)="Cerrado",IF(G857=VLOOKUP(B857,PARTIDOS!$A:$I,8,FALSE),IF(AND(E857=VLOOKUP(B857,PARTIDOS!$A:$I,6,FALSE),F857=VLOOKUP(B857,PARTIDOS!$A:$I,7,FALSE)),3,1),0),"")</f>
        <v/>
      </c>
    </row>
    <row r="858" ht="20.1" customHeight="1">
      <c r="A858" s="12" t="inlineStr">
        <is>
          <t>Jugador 12</t>
        </is>
      </c>
      <c r="B858" s="8" t="inlineStr">
        <is>
          <t>M65</t>
        </is>
      </c>
      <c r="C858" s="12" t="inlineStr">
        <is>
          <t>Túnez</t>
        </is>
      </c>
      <c r="D858" s="12" t="inlineStr">
        <is>
          <t>Egipto</t>
        </is>
      </c>
      <c r="E858" s="8" t="n"/>
      <c r="F858" s="8" t="n"/>
      <c r="G858" s="8">
        <f>IF(OR(ISBLANK(E858),ISBLANK(F858)),"",IF(E858&gt;F858,"Local",IF(E858=F858,"Empate","Visitante")))</f>
        <v/>
      </c>
      <c r="H858" s="8">
        <f>IF(VLOOKUP(B858,PARTIDOS!$A:$I,9,FALSE)="Cerrado",IF(G858=VLOOKUP(B858,PARTIDOS!$A:$I,8,FALSE),IF(AND(E858=VLOOKUP(B858,PARTIDOS!$A:$I,6,FALSE),F858=VLOOKUP(B858,PARTIDOS!$A:$I,7,FALSE)),3,1),0),"")</f>
        <v/>
      </c>
    </row>
    <row r="859" ht="20.1" customHeight="1">
      <c r="A859" s="12" t="inlineStr">
        <is>
          <t>Jugador 12</t>
        </is>
      </c>
      <c r="B859" s="8" t="inlineStr">
        <is>
          <t>M66</t>
        </is>
      </c>
      <c r="C859" s="12" t="inlineStr">
        <is>
          <t>Nigeria</t>
        </is>
      </c>
      <c r="D859" s="12" t="inlineStr">
        <is>
          <t>Camerún</t>
        </is>
      </c>
      <c r="E859" s="8" t="n"/>
      <c r="F859" s="8" t="n"/>
      <c r="G859" s="8">
        <f>IF(OR(ISBLANK(E859),ISBLANK(F859)),"",IF(E859&gt;F859,"Local",IF(E859=F859,"Empate","Visitante")))</f>
        <v/>
      </c>
      <c r="H859" s="8">
        <f>IF(VLOOKUP(B859,PARTIDOS!$A:$I,9,FALSE)="Cerrado",IF(G859=VLOOKUP(B859,PARTIDOS!$A:$I,8,FALSE),IF(AND(E859=VLOOKUP(B859,PARTIDOS!$A:$I,6,FALSE),F859=VLOOKUP(B859,PARTIDOS!$A:$I,7,FALSE)),3,1),0),"")</f>
        <v/>
      </c>
    </row>
    <row r="860" ht="20.1" customHeight="1">
      <c r="A860" s="12" t="inlineStr">
        <is>
          <t>Jugador 12</t>
        </is>
      </c>
      <c r="B860" s="8" t="inlineStr">
        <is>
          <t>M67</t>
        </is>
      </c>
      <c r="C860" s="12" t="inlineStr">
        <is>
          <t>Costa de Marfil</t>
        </is>
      </c>
      <c r="D860" s="12" t="inlineStr">
        <is>
          <t>Sudáfrica</t>
        </is>
      </c>
      <c r="E860" s="8" t="n"/>
      <c r="F860" s="8" t="n"/>
      <c r="G860" s="8">
        <f>IF(OR(ISBLANK(E860),ISBLANK(F860)),"",IF(E860&gt;F860,"Local",IF(E860=F860,"Empate","Visitante")))</f>
        <v/>
      </c>
      <c r="H860" s="8">
        <f>IF(VLOOKUP(B860,PARTIDOS!$A:$I,9,FALSE)="Cerrado",IF(G860=VLOOKUP(B860,PARTIDOS!$A:$I,8,FALSE),IF(AND(E860=VLOOKUP(B860,PARTIDOS!$A:$I,6,FALSE),F860=VLOOKUP(B860,PARTIDOS!$A:$I,7,FALSE)),3,1),0),"")</f>
        <v/>
      </c>
    </row>
    <row r="861" ht="20.1" customHeight="1">
      <c r="A861" s="12" t="inlineStr">
        <is>
          <t>Jugador 12</t>
        </is>
      </c>
      <c r="B861" s="8" t="inlineStr">
        <is>
          <t>M68</t>
        </is>
      </c>
      <c r="C861" s="12" t="inlineStr">
        <is>
          <t>Panáma</t>
        </is>
      </c>
      <c r="D861" s="12" t="inlineStr">
        <is>
          <t>Nueva Zelanda</t>
        </is>
      </c>
      <c r="E861" s="8" t="n"/>
      <c r="F861" s="8" t="n"/>
      <c r="G861" s="8">
        <f>IF(OR(ISBLANK(E861),ISBLANK(F861)),"",IF(E861&gt;F861,"Local",IF(E861=F861,"Empate","Visitante")))</f>
        <v/>
      </c>
      <c r="H861" s="8">
        <f>IF(VLOOKUP(B861,PARTIDOS!$A:$I,9,FALSE)="Cerrado",IF(G861=VLOOKUP(B861,PARTIDOS!$A:$I,8,FALSE),IF(AND(E861=VLOOKUP(B861,PARTIDOS!$A:$I,6,FALSE),F861=VLOOKUP(B861,PARTIDOS!$A:$I,7,FALSE)),3,1),0),"")</f>
        <v/>
      </c>
    </row>
    <row r="862" ht="20.1" customHeight="1">
      <c r="A862" s="12" t="inlineStr">
        <is>
          <t>Jugador 12</t>
        </is>
      </c>
      <c r="B862" s="8" t="inlineStr">
        <is>
          <t>M69</t>
        </is>
      </c>
      <c r="C862" s="12" t="inlineStr">
        <is>
          <t>Costa de Marfil</t>
        </is>
      </c>
      <c r="D862" s="12" t="inlineStr">
        <is>
          <t>Panáma</t>
        </is>
      </c>
      <c r="E862" s="8" t="n"/>
      <c r="F862" s="8" t="n"/>
      <c r="G862" s="8">
        <f>IF(OR(ISBLANK(E862),ISBLANK(F862)),"",IF(E862&gt;F862,"Local",IF(E862=F862,"Empate","Visitante")))</f>
        <v/>
      </c>
      <c r="H862" s="8">
        <f>IF(VLOOKUP(B862,PARTIDOS!$A:$I,9,FALSE)="Cerrado",IF(G862=VLOOKUP(B862,PARTIDOS!$A:$I,8,FALSE),IF(AND(E862=VLOOKUP(B862,PARTIDOS!$A:$I,6,FALSE),F862=VLOOKUP(B862,PARTIDOS!$A:$I,7,FALSE)),3,1),0),"")</f>
        <v/>
      </c>
    </row>
    <row r="863" ht="20.1" customHeight="1">
      <c r="A863" s="12" t="inlineStr">
        <is>
          <t>Jugador 12</t>
        </is>
      </c>
      <c r="B863" s="8" t="inlineStr">
        <is>
          <t>M70</t>
        </is>
      </c>
      <c r="C863" s="12" t="inlineStr">
        <is>
          <t>Sudáfrica</t>
        </is>
      </c>
      <c r="D863" s="12" t="inlineStr">
        <is>
          <t>Nueva Zelanda</t>
        </is>
      </c>
      <c r="E863" s="8" t="n"/>
      <c r="F863" s="8" t="n"/>
      <c r="G863" s="8">
        <f>IF(OR(ISBLANK(E863),ISBLANK(F863)),"",IF(E863&gt;F863,"Local",IF(E863=F863,"Empate","Visitante")))</f>
        <v/>
      </c>
      <c r="H863" s="8">
        <f>IF(VLOOKUP(B863,PARTIDOS!$A:$I,9,FALSE)="Cerrado",IF(G863=VLOOKUP(B863,PARTIDOS!$A:$I,8,FALSE),IF(AND(E863=VLOOKUP(B863,PARTIDOS!$A:$I,6,FALSE),F863=VLOOKUP(B863,PARTIDOS!$A:$I,7,FALSE)),3,1),0),"")</f>
        <v/>
      </c>
    </row>
    <row r="864" ht="20.1" customHeight="1">
      <c r="A864" s="12" t="inlineStr">
        <is>
          <t>Jugador 12</t>
        </is>
      </c>
      <c r="B864" s="8" t="inlineStr">
        <is>
          <t>M71</t>
        </is>
      </c>
      <c r="C864" s="12" t="inlineStr">
        <is>
          <t>Costa de Marfil</t>
        </is>
      </c>
      <c r="D864" s="12" t="inlineStr">
        <is>
          <t>Nueva Zelanda</t>
        </is>
      </c>
      <c r="E864" s="8" t="n"/>
      <c r="F864" s="8" t="n"/>
      <c r="G864" s="8">
        <f>IF(OR(ISBLANK(E864),ISBLANK(F864)),"",IF(E864&gt;F864,"Local",IF(E864=F864,"Empate","Visitante")))</f>
        <v/>
      </c>
      <c r="H864" s="8">
        <f>IF(VLOOKUP(B864,PARTIDOS!$A:$I,9,FALSE)="Cerrado",IF(G864=VLOOKUP(B864,PARTIDOS!$A:$I,8,FALSE),IF(AND(E864=VLOOKUP(B864,PARTIDOS!$A:$I,6,FALSE),F864=VLOOKUP(B864,PARTIDOS!$A:$I,7,FALSE)),3,1),0),"")</f>
        <v/>
      </c>
    </row>
    <row r="865" ht="20.1" customHeight="1">
      <c r="A865" s="12" t="inlineStr">
        <is>
          <t>Jugador 12</t>
        </is>
      </c>
      <c r="B865" s="8" t="inlineStr">
        <is>
          <t>M72</t>
        </is>
      </c>
      <c r="C865" s="12" t="inlineStr">
        <is>
          <t>Sudáfrica</t>
        </is>
      </c>
      <c r="D865" s="12" t="inlineStr">
        <is>
          <t>Panáma</t>
        </is>
      </c>
      <c r="E865" s="8" t="n"/>
      <c r="F865" s="8" t="n"/>
      <c r="G865" s="8">
        <f>IF(OR(ISBLANK(E865),ISBLANK(F865)),"",IF(E865&gt;F865,"Local",IF(E865=F865,"Empate","Visitante")))</f>
        <v/>
      </c>
      <c r="H865" s="8">
        <f>IF(VLOOKUP(B865,PARTIDOS!$A:$I,9,FALSE)="Cerrado",IF(G865=VLOOKUP(B865,PARTIDOS!$A:$I,8,FALSE),IF(AND(E865=VLOOKUP(B865,PARTIDOS!$A:$I,6,FALSE),F865=VLOOKUP(B865,PARTIDOS!$A:$I,7,FALSE)),3,1),0),"")</f>
        <v/>
      </c>
    </row>
    <row r="866" ht="20.1" customHeight="1">
      <c r="A866" s="12" t="inlineStr">
        <is>
          <t>Jugador 13</t>
        </is>
      </c>
      <c r="B866" s="8" t="inlineStr">
        <is>
          <t>M01</t>
        </is>
      </c>
      <c r="C866" s="12" t="inlineStr">
        <is>
          <t>México</t>
        </is>
      </c>
      <c r="D866" s="12" t="inlineStr">
        <is>
          <t>EEUU</t>
        </is>
      </c>
      <c r="E866" s="8" t="n"/>
      <c r="F866" s="8" t="n"/>
      <c r="G866" s="8">
        <f>IF(OR(ISBLANK(E866),ISBLANK(F866)),"",IF(E866&gt;F866,"Local",IF(E866=F866,"Empate","Visitante")))</f>
        <v/>
      </c>
      <c r="H866" s="8">
        <f>IF(VLOOKUP(B866,PARTIDOS!$A:$I,9,FALSE)="Cerrado",IF(G866=VLOOKUP(B866,PARTIDOS!$A:$I,8,FALSE),IF(AND(E866=VLOOKUP(B866,PARTIDOS!$A:$I,6,FALSE),F866=VLOOKUP(B866,PARTIDOS!$A:$I,7,FALSE)),3,1),0),"")</f>
        <v/>
      </c>
    </row>
    <row r="867" ht="20.1" customHeight="1">
      <c r="A867" s="12" t="inlineStr">
        <is>
          <t>Jugador 13</t>
        </is>
      </c>
      <c r="B867" s="8" t="inlineStr">
        <is>
          <t>M02</t>
        </is>
      </c>
      <c r="C867" s="12" t="inlineStr">
        <is>
          <t>Canadá</t>
        </is>
      </c>
      <c r="D867" s="12" t="inlineStr">
        <is>
          <t>Jamaica</t>
        </is>
      </c>
      <c r="E867" s="8" t="n"/>
      <c r="F867" s="8" t="n"/>
      <c r="G867" s="8">
        <f>IF(OR(ISBLANK(E867),ISBLANK(F867)),"",IF(E867&gt;F867,"Local",IF(E867=F867,"Empate","Visitante")))</f>
        <v/>
      </c>
      <c r="H867" s="8">
        <f>IF(VLOOKUP(B867,PARTIDOS!$A:$I,9,FALSE)="Cerrado",IF(G867=VLOOKUP(B867,PARTIDOS!$A:$I,8,FALSE),IF(AND(E867=VLOOKUP(B867,PARTIDOS!$A:$I,6,FALSE),F867=VLOOKUP(B867,PARTIDOS!$A:$I,7,FALSE)),3,1),0),"")</f>
        <v/>
      </c>
    </row>
    <row r="868" ht="20.1" customHeight="1">
      <c r="A868" s="12" t="inlineStr">
        <is>
          <t>Jugador 13</t>
        </is>
      </c>
      <c r="B868" s="8" t="inlineStr">
        <is>
          <t>M03</t>
        </is>
      </c>
      <c r="C868" s="12" t="inlineStr">
        <is>
          <t>México</t>
        </is>
      </c>
      <c r="D868" s="12" t="inlineStr">
        <is>
          <t>Canadá</t>
        </is>
      </c>
      <c r="E868" s="8" t="n"/>
      <c r="F868" s="8" t="n"/>
      <c r="G868" s="8">
        <f>IF(OR(ISBLANK(E868),ISBLANK(F868)),"",IF(E868&gt;F868,"Local",IF(E868=F868,"Empate","Visitante")))</f>
        <v/>
      </c>
      <c r="H868" s="8">
        <f>IF(VLOOKUP(B868,PARTIDOS!$A:$I,9,FALSE)="Cerrado",IF(G868=VLOOKUP(B868,PARTIDOS!$A:$I,8,FALSE),IF(AND(E868=VLOOKUP(B868,PARTIDOS!$A:$I,6,FALSE),F868=VLOOKUP(B868,PARTIDOS!$A:$I,7,FALSE)),3,1),0),"")</f>
        <v/>
      </c>
    </row>
    <row r="869" ht="20.1" customHeight="1">
      <c r="A869" s="12" t="inlineStr">
        <is>
          <t>Jugador 13</t>
        </is>
      </c>
      <c r="B869" s="8" t="inlineStr">
        <is>
          <t>M04</t>
        </is>
      </c>
      <c r="C869" s="12" t="inlineStr">
        <is>
          <t>EEUU</t>
        </is>
      </c>
      <c r="D869" s="12" t="inlineStr">
        <is>
          <t>Jamaica</t>
        </is>
      </c>
      <c r="E869" s="8" t="n"/>
      <c r="F869" s="8" t="n"/>
      <c r="G869" s="8">
        <f>IF(OR(ISBLANK(E869),ISBLANK(F869)),"",IF(E869&gt;F869,"Local",IF(E869=F869,"Empate","Visitante")))</f>
        <v/>
      </c>
      <c r="H869" s="8">
        <f>IF(VLOOKUP(B869,PARTIDOS!$A:$I,9,FALSE)="Cerrado",IF(G869=VLOOKUP(B869,PARTIDOS!$A:$I,8,FALSE),IF(AND(E869=VLOOKUP(B869,PARTIDOS!$A:$I,6,FALSE),F869=VLOOKUP(B869,PARTIDOS!$A:$I,7,FALSE)),3,1),0),"")</f>
        <v/>
      </c>
    </row>
    <row r="870" ht="20.1" customHeight="1">
      <c r="A870" s="12" t="inlineStr">
        <is>
          <t>Jugador 13</t>
        </is>
      </c>
      <c r="B870" s="8" t="inlineStr">
        <is>
          <t>M05</t>
        </is>
      </c>
      <c r="C870" s="12" t="inlineStr">
        <is>
          <t>México</t>
        </is>
      </c>
      <c r="D870" s="12" t="inlineStr">
        <is>
          <t>Jamaica</t>
        </is>
      </c>
      <c r="E870" s="8" t="n"/>
      <c r="F870" s="8" t="n"/>
      <c r="G870" s="8">
        <f>IF(OR(ISBLANK(E870),ISBLANK(F870)),"",IF(E870&gt;F870,"Local",IF(E870=F870,"Empate","Visitante")))</f>
        <v/>
      </c>
      <c r="H870" s="8">
        <f>IF(VLOOKUP(B870,PARTIDOS!$A:$I,9,FALSE)="Cerrado",IF(G870=VLOOKUP(B870,PARTIDOS!$A:$I,8,FALSE),IF(AND(E870=VLOOKUP(B870,PARTIDOS!$A:$I,6,FALSE),F870=VLOOKUP(B870,PARTIDOS!$A:$I,7,FALSE)),3,1),0),"")</f>
        <v/>
      </c>
    </row>
    <row r="871" ht="20.1" customHeight="1">
      <c r="A871" s="12" t="inlineStr">
        <is>
          <t>Jugador 13</t>
        </is>
      </c>
      <c r="B871" s="8" t="inlineStr">
        <is>
          <t>M06</t>
        </is>
      </c>
      <c r="C871" s="12" t="inlineStr">
        <is>
          <t>EEUU</t>
        </is>
      </c>
      <c r="D871" s="12" t="inlineStr">
        <is>
          <t>Canadá</t>
        </is>
      </c>
      <c r="E871" s="8" t="n"/>
      <c r="F871" s="8" t="n"/>
      <c r="G871" s="8">
        <f>IF(OR(ISBLANK(E871),ISBLANK(F871)),"",IF(E871&gt;F871,"Local",IF(E871=F871,"Empate","Visitante")))</f>
        <v/>
      </c>
      <c r="H871" s="8">
        <f>IF(VLOOKUP(B871,PARTIDOS!$A:$I,9,FALSE)="Cerrado",IF(G871=VLOOKUP(B871,PARTIDOS!$A:$I,8,FALSE),IF(AND(E871=VLOOKUP(B871,PARTIDOS!$A:$I,6,FALSE),F871=VLOOKUP(B871,PARTIDOS!$A:$I,7,FALSE)),3,1),0),"")</f>
        <v/>
      </c>
    </row>
    <row r="872" ht="20.1" customHeight="1">
      <c r="A872" s="12" t="inlineStr">
        <is>
          <t>Jugador 13</t>
        </is>
      </c>
      <c r="B872" s="8" t="inlineStr">
        <is>
          <t>M07</t>
        </is>
      </c>
      <c r="C872" s="12" t="inlineStr">
        <is>
          <t>Argentina</t>
        </is>
      </c>
      <c r="D872" s="12" t="inlineStr">
        <is>
          <t>Brasil</t>
        </is>
      </c>
      <c r="E872" s="8" t="n"/>
      <c r="F872" s="8" t="n"/>
      <c r="G872" s="8">
        <f>IF(OR(ISBLANK(E872),ISBLANK(F872)),"",IF(E872&gt;F872,"Local",IF(E872=F872,"Empate","Visitante")))</f>
        <v/>
      </c>
      <c r="H872" s="8">
        <f>IF(VLOOKUP(B872,PARTIDOS!$A:$I,9,FALSE)="Cerrado",IF(G872=VLOOKUP(B872,PARTIDOS!$A:$I,8,FALSE),IF(AND(E872=VLOOKUP(B872,PARTIDOS!$A:$I,6,FALSE),F872=VLOOKUP(B872,PARTIDOS!$A:$I,7,FALSE)),3,1),0),"")</f>
        <v/>
      </c>
    </row>
    <row r="873" ht="20.1" customHeight="1">
      <c r="A873" s="12" t="inlineStr">
        <is>
          <t>Jugador 13</t>
        </is>
      </c>
      <c r="B873" s="8" t="inlineStr">
        <is>
          <t>M08</t>
        </is>
      </c>
      <c r="C873" s="12" t="inlineStr">
        <is>
          <t>Colombia</t>
        </is>
      </c>
      <c r="D873" s="12" t="inlineStr">
        <is>
          <t>Uruguay</t>
        </is>
      </c>
      <c r="E873" s="8" t="n"/>
      <c r="F873" s="8" t="n"/>
      <c r="G873" s="8">
        <f>IF(OR(ISBLANK(E873),ISBLANK(F873)),"",IF(E873&gt;F873,"Local",IF(E873=F873,"Empate","Visitante")))</f>
        <v/>
      </c>
      <c r="H873" s="8">
        <f>IF(VLOOKUP(B873,PARTIDOS!$A:$I,9,FALSE)="Cerrado",IF(G873=VLOOKUP(B873,PARTIDOS!$A:$I,8,FALSE),IF(AND(E873=VLOOKUP(B873,PARTIDOS!$A:$I,6,FALSE),F873=VLOOKUP(B873,PARTIDOS!$A:$I,7,FALSE)),3,1),0),"")</f>
        <v/>
      </c>
    </row>
    <row r="874" ht="20.1" customHeight="1">
      <c r="A874" s="12" t="inlineStr">
        <is>
          <t>Jugador 13</t>
        </is>
      </c>
      <c r="B874" s="8" t="inlineStr">
        <is>
          <t>M09</t>
        </is>
      </c>
      <c r="C874" s="12" t="inlineStr">
        <is>
          <t>Argentina</t>
        </is>
      </c>
      <c r="D874" s="12" t="inlineStr">
        <is>
          <t>Colombia</t>
        </is>
      </c>
      <c r="E874" s="8" t="n"/>
      <c r="F874" s="8" t="n"/>
      <c r="G874" s="8">
        <f>IF(OR(ISBLANK(E874),ISBLANK(F874)),"",IF(E874&gt;F874,"Local",IF(E874=F874,"Empate","Visitante")))</f>
        <v/>
      </c>
      <c r="H874" s="8">
        <f>IF(VLOOKUP(B874,PARTIDOS!$A:$I,9,FALSE)="Cerrado",IF(G874=VLOOKUP(B874,PARTIDOS!$A:$I,8,FALSE),IF(AND(E874=VLOOKUP(B874,PARTIDOS!$A:$I,6,FALSE),F874=VLOOKUP(B874,PARTIDOS!$A:$I,7,FALSE)),3,1),0),"")</f>
        <v/>
      </c>
    </row>
    <row r="875" ht="20.1" customHeight="1">
      <c r="A875" s="12" t="inlineStr">
        <is>
          <t>Jugador 13</t>
        </is>
      </c>
      <c r="B875" s="8" t="inlineStr">
        <is>
          <t>M10</t>
        </is>
      </c>
      <c r="C875" s="12" t="inlineStr">
        <is>
          <t>Brasil</t>
        </is>
      </c>
      <c r="D875" s="12" t="inlineStr">
        <is>
          <t>Uruguay</t>
        </is>
      </c>
      <c r="E875" s="8" t="n"/>
      <c r="F875" s="8" t="n"/>
      <c r="G875" s="8">
        <f>IF(OR(ISBLANK(E875),ISBLANK(F875)),"",IF(E875&gt;F875,"Local",IF(E875=F875,"Empate","Visitante")))</f>
        <v/>
      </c>
      <c r="H875" s="8">
        <f>IF(VLOOKUP(B875,PARTIDOS!$A:$I,9,FALSE)="Cerrado",IF(G875=VLOOKUP(B875,PARTIDOS!$A:$I,8,FALSE),IF(AND(E875=VLOOKUP(B875,PARTIDOS!$A:$I,6,FALSE),F875=VLOOKUP(B875,PARTIDOS!$A:$I,7,FALSE)),3,1),0),"")</f>
        <v/>
      </c>
    </row>
    <row r="876" ht="20.1" customHeight="1">
      <c r="A876" s="12" t="inlineStr">
        <is>
          <t>Jugador 13</t>
        </is>
      </c>
      <c r="B876" s="8" t="inlineStr">
        <is>
          <t>M11</t>
        </is>
      </c>
      <c r="C876" s="12" t="inlineStr">
        <is>
          <t>Argentina</t>
        </is>
      </c>
      <c r="D876" s="12" t="inlineStr">
        <is>
          <t>Uruguay</t>
        </is>
      </c>
      <c r="E876" s="8" t="n"/>
      <c r="F876" s="8" t="n"/>
      <c r="G876" s="8">
        <f>IF(OR(ISBLANK(E876),ISBLANK(F876)),"",IF(E876&gt;F876,"Local",IF(E876=F876,"Empate","Visitante")))</f>
        <v/>
      </c>
      <c r="H876" s="8">
        <f>IF(VLOOKUP(B876,PARTIDOS!$A:$I,9,FALSE)="Cerrado",IF(G876=VLOOKUP(B876,PARTIDOS!$A:$I,8,FALSE),IF(AND(E876=VLOOKUP(B876,PARTIDOS!$A:$I,6,FALSE),F876=VLOOKUP(B876,PARTIDOS!$A:$I,7,FALSE)),3,1),0),"")</f>
        <v/>
      </c>
    </row>
    <row r="877" ht="20.1" customHeight="1">
      <c r="A877" s="12" t="inlineStr">
        <is>
          <t>Jugador 13</t>
        </is>
      </c>
      <c r="B877" s="8" t="inlineStr">
        <is>
          <t>M12</t>
        </is>
      </c>
      <c r="C877" s="12" t="inlineStr">
        <is>
          <t>Brasil</t>
        </is>
      </c>
      <c r="D877" s="12" t="inlineStr">
        <is>
          <t>Colombia</t>
        </is>
      </c>
      <c r="E877" s="8" t="n"/>
      <c r="F877" s="8" t="n"/>
      <c r="G877" s="8">
        <f>IF(OR(ISBLANK(E877),ISBLANK(F877)),"",IF(E877&gt;F877,"Local",IF(E877=F877,"Empate","Visitante")))</f>
        <v/>
      </c>
      <c r="H877" s="8">
        <f>IF(VLOOKUP(B877,PARTIDOS!$A:$I,9,FALSE)="Cerrado",IF(G877=VLOOKUP(B877,PARTIDOS!$A:$I,8,FALSE),IF(AND(E877=VLOOKUP(B877,PARTIDOS!$A:$I,6,FALSE),F877=VLOOKUP(B877,PARTIDOS!$A:$I,7,FALSE)),3,1),0),"")</f>
        <v/>
      </c>
    </row>
    <row r="878" ht="20.1" customHeight="1">
      <c r="A878" s="12" t="inlineStr">
        <is>
          <t>Jugador 13</t>
        </is>
      </c>
      <c r="B878" s="8" t="inlineStr">
        <is>
          <t>M13</t>
        </is>
      </c>
      <c r="C878" s="12" t="inlineStr">
        <is>
          <t>Ecuador</t>
        </is>
      </c>
      <c r="D878" s="12" t="inlineStr">
        <is>
          <t>Perú</t>
        </is>
      </c>
      <c r="E878" s="8" t="n"/>
      <c r="F878" s="8" t="n"/>
      <c r="G878" s="8">
        <f>IF(OR(ISBLANK(E878),ISBLANK(F878)),"",IF(E878&gt;F878,"Local",IF(E878=F878,"Empate","Visitante")))</f>
        <v/>
      </c>
      <c r="H878" s="8">
        <f>IF(VLOOKUP(B878,PARTIDOS!$A:$I,9,FALSE)="Cerrado",IF(G878=VLOOKUP(B878,PARTIDOS!$A:$I,8,FALSE),IF(AND(E878=VLOOKUP(B878,PARTIDOS!$A:$I,6,FALSE),F878=VLOOKUP(B878,PARTIDOS!$A:$I,7,FALSE)),3,1),0),"")</f>
        <v/>
      </c>
    </row>
    <row r="879" ht="20.1" customHeight="1">
      <c r="A879" s="12" t="inlineStr">
        <is>
          <t>Jugador 13</t>
        </is>
      </c>
      <c r="B879" s="8" t="inlineStr">
        <is>
          <t>M14</t>
        </is>
      </c>
      <c r="C879" s="12" t="inlineStr">
        <is>
          <t>Chile</t>
        </is>
      </c>
      <c r="D879" s="12" t="inlineStr">
        <is>
          <t>Paraguay</t>
        </is>
      </c>
      <c r="E879" s="8" t="n"/>
      <c r="F879" s="8" t="n"/>
      <c r="G879" s="8">
        <f>IF(OR(ISBLANK(E879),ISBLANK(F879)),"",IF(E879&gt;F879,"Local",IF(E879=F879,"Empate","Visitante")))</f>
        <v/>
      </c>
      <c r="H879" s="8">
        <f>IF(VLOOKUP(B879,PARTIDOS!$A:$I,9,FALSE)="Cerrado",IF(G879=VLOOKUP(B879,PARTIDOS!$A:$I,8,FALSE),IF(AND(E879=VLOOKUP(B879,PARTIDOS!$A:$I,6,FALSE),F879=VLOOKUP(B879,PARTIDOS!$A:$I,7,FALSE)),3,1),0),"")</f>
        <v/>
      </c>
    </row>
    <row r="880" ht="20.1" customHeight="1">
      <c r="A880" s="12" t="inlineStr">
        <is>
          <t>Jugador 13</t>
        </is>
      </c>
      <c r="B880" s="8" t="inlineStr">
        <is>
          <t>M15</t>
        </is>
      </c>
      <c r="C880" s="12" t="inlineStr">
        <is>
          <t>Ecuador</t>
        </is>
      </c>
      <c r="D880" s="12" t="inlineStr">
        <is>
          <t>Chile</t>
        </is>
      </c>
      <c r="E880" s="8" t="n"/>
      <c r="F880" s="8" t="n"/>
      <c r="G880" s="8">
        <f>IF(OR(ISBLANK(E880),ISBLANK(F880)),"",IF(E880&gt;F880,"Local",IF(E880=F880,"Empate","Visitante")))</f>
        <v/>
      </c>
      <c r="H880" s="8">
        <f>IF(VLOOKUP(B880,PARTIDOS!$A:$I,9,FALSE)="Cerrado",IF(G880=VLOOKUP(B880,PARTIDOS!$A:$I,8,FALSE),IF(AND(E880=VLOOKUP(B880,PARTIDOS!$A:$I,6,FALSE),F880=VLOOKUP(B880,PARTIDOS!$A:$I,7,FALSE)),3,1),0),"")</f>
        <v/>
      </c>
    </row>
    <row r="881" ht="20.1" customHeight="1">
      <c r="A881" s="12" t="inlineStr">
        <is>
          <t>Jugador 13</t>
        </is>
      </c>
      <c r="B881" s="8" t="inlineStr">
        <is>
          <t>M16</t>
        </is>
      </c>
      <c r="C881" s="12" t="inlineStr">
        <is>
          <t>Perú</t>
        </is>
      </c>
      <c r="D881" s="12" t="inlineStr">
        <is>
          <t>Paraguay</t>
        </is>
      </c>
      <c r="E881" s="8" t="n"/>
      <c r="F881" s="8" t="n"/>
      <c r="G881" s="8">
        <f>IF(OR(ISBLANK(E881),ISBLANK(F881)),"",IF(E881&gt;F881,"Local",IF(E881=F881,"Empate","Visitante")))</f>
        <v/>
      </c>
      <c r="H881" s="8">
        <f>IF(VLOOKUP(B881,PARTIDOS!$A:$I,9,FALSE)="Cerrado",IF(G881=VLOOKUP(B881,PARTIDOS!$A:$I,8,FALSE),IF(AND(E881=VLOOKUP(B881,PARTIDOS!$A:$I,6,FALSE),F881=VLOOKUP(B881,PARTIDOS!$A:$I,7,FALSE)),3,1),0),"")</f>
        <v/>
      </c>
    </row>
    <row r="882" ht="20.1" customHeight="1">
      <c r="A882" s="12" t="inlineStr">
        <is>
          <t>Jugador 13</t>
        </is>
      </c>
      <c r="B882" s="8" t="inlineStr">
        <is>
          <t>M17</t>
        </is>
      </c>
      <c r="C882" s="12" t="inlineStr">
        <is>
          <t>Ecuador</t>
        </is>
      </c>
      <c r="D882" s="12" t="inlineStr">
        <is>
          <t>Paraguay</t>
        </is>
      </c>
      <c r="E882" s="8" t="n"/>
      <c r="F882" s="8" t="n"/>
      <c r="G882" s="8">
        <f>IF(OR(ISBLANK(E882),ISBLANK(F882)),"",IF(E882&gt;F882,"Local",IF(E882=F882,"Empate","Visitante")))</f>
        <v/>
      </c>
      <c r="H882" s="8">
        <f>IF(VLOOKUP(B882,PARTIDOS!$A:$I,9,FALSE)="Cerrado",IF(G882=VLOOKUP(B882,PARTIDOS!$A:$I,8,FALSE),IF(AND(E882=VLOOKUP(B882,PARTIDOS!$A:$I,6,FALSE),F882=VLOOKUP(B882,PARTIDOS!$A:$I,7,FALSE)),3,1),0),"")</f>
        <v/>
      </c>
    </row>
    <row r="883" ht="20.1" customHeight="1">
      <c r="A883" s="12" t="inlineStr">
        <is>
          <t>Jugador 13</t>
        </is>
      </c>
      <c r="B883" s="8" t="inlineStr">
        <is>
          <t>M18</t>
        </is>
      </c>
      <c r="C883" s="12" t="inlineStr">
        <is>
          <t>Perú</t>
        </is>
      </c>
      <c r="D883" s="12" t="inlineStr">
        <is>
          <t>Chile</t>
        </is>
      </c>
      <c r="E883" s="8" t="n"/>
      <c r="F883" s="8" t="n"/>
      <c r="G883" s="8">
        <f>IF(OR(ISBLANK(E883),ISBLANK(F883)),"",IF(E883&gt;F883,"Local",IF(E883=F883,"Empate","Visitante")))</f>
        <v/>
      </c>
      <c r="H883" s="8">
        <f>IF(VLOOKUP(B883,PARTIDOS!$A:$I,9,FALSE)="Cerrado",IF(G883=VLOOKUP(B883,PARTIDOS!$A:$I,8,FALSE),IF(AND(E883=VLOOKUP(B883,PARTIDOS!$A:$I,6,FALSE),F883=VLOOKUP(B883,PARTIDOS!$A:$I,7,FALSE)),3,1),0),"")</f>
        <v/>
      </c>
    </row>
    <row r="884" ht="20.1" customHeight="1">
      <c r="A884" s="12" t="inlineStr">
        <is>
          <t>Jugador 13</t>
        </is>
      </c>
      <c r="B884" s="8" t="inlineStr">
        <is>
          <t>M19</t>
        </is>
      </c>
      <c r="C884" s="12" t="inlineStr">
        <is>
          <t>España</t>
        </is>
      </c>
      <c r="D884" s="12" t="inlineStr">
        <is>
          <t>Francia</t>
        </is>
      </c>
      <c r="E884" s="8" t="n"/>
      <c r="F884" s="8" t="n"/>
      <c r="G884" s="8">
        <f>IF(OR(ISBLANK(E884),ISBLANK(F884)),"",IF(E884&gt;F884,"Local",IF(E884=F884,"Empate","Visitante")))</f>
        <v/>
      </c>
      <c r="H884" s="8">
        <f>IF(VLOOKUP(B884,PARTIDOS!$A:$I,9,FALSE)="Cerrado",IF(G884=VLOOKUP(B884,PARTIDOS!$A:$I,8,FALSE),IF(AND(E884=VLOOKUP(B884,PARTIDOS!$A:$I,6,FALSE),F884=VLOOKUP(B884,PARTIDOS!$A:$I,7,FALSE)),3,1),0),"")</f>
        <v/>
      </c>
    </row>
    <row r="885" ht="20.1" customHeight="1">
      <c r="A885" s="12" t="inlineStr">
        <is>
          <t>Jugador 13</t>
        </is>
      </c>
      <c r="B885" s="8" t="inlineStr">
        <is>
          <t>M20</t>
        </is>
      </c>
      <c r="C885" s="12" t="inlineStr">
        <is>
          <t>Inglaterra</t>
        </is>
      </c>
      <c r="D885" s="12" t="inlineStr">
        <is>
          <t>Alemania</t>
        </is>
      </c>
      <c r="E885" s="8" t="n"/>
      <c r="F885" s="8" t="n"/>
      <c r="G885" s="8">
        <f>IF(OR(ISBLANK(E885),ISBLANK(F885)),"",IF(E885&gt;F885,"Local",IF(E885=F885,"Empate","Visitante")))</f>
        <v/>
      </c>
      <c r="H885" s="8">
        <f>IF(VLOOKUP(B885,PARTIDOS!$A:$I,9,FALSE)="Cerrado",IF(G885=VLOOKUP(B885,PARTIDOS!$A:$I,8,FALSE),IF(AND(E885=VLOOKUP(B885,PARTIDOS!$A:$I,6,FALSE),F885=VLOOKUP(B885,PARTIDOS!$A:$I,7,FALSE)),3,1),0),"")</f>
        <v/>
      </c>
    </row>
    <row r="886" ht="20.1" customHeight="1">
      <c r="A886" s="12" t="inlineStr">
        <is>
          <t>Jugador 13</t>
        </is>
      </c>
      <c r="B886" s="8" t="inlineStr">
        <is>
          <t>M21</t>
        </is>
      </c>
      <c r="C886" s="12" t="inlineStr">
        <is>
          <t>España</t>
        </is>
      </c>
      <c r="D886" s="12" t="inlineStr">
        <is>
          <t>Inglaterra</t>
        </is>
      </c>
      <c r="E886" s="8" t="n"/>
      <c r="F886" s="8" t="n"/>
      <c r="G886" s="8">
        <f>IF(OR(ISBLANK(E886),ISBLANK(F886)),"",IF(E886&gt;F886,"Local",IF(E886=F886,"Empate","Visitante")))</f>
        <v/>
      </c>
      <c r="H886" s="8">
        <f>IF(VLOOKUP(B886,PARTIDOS!$A:$I,9,FALSE)="Cerrado",IF(G886=VLOOKUP(B886,PARTIDOS!$A:$I,8,FALSE),IF(AND(E886=VLOOKUP(B886,PARTIDOS!$A:$I,6,FALSE),F886=VLOOKUP(B886,PARTIDOS!$A:$I,7,FALSE)),3,1),0),"")</f>
        <v/>
      </c>
    </row>
    <row r="887" ht="20.1" customHeight="1">
      <c r="A887" s="12" t="inlineStr">
        <is>
          <t>Jugador 13</t>
        </is>
      </c>
      <c r="B887" s="8" t="inlineStr">
        <is>
          <t>M22</t>
        </is>
      </c>
      <c r="C887" s="12" t="inlineStr">
        <is>
          <t>Francia</t>
        </is>
      </c>
      <c r="D887" s="12" t="inlineStr">
        <is>
          <t>Alemania</t>
        </is>
      </c>
      <c r="E887" s="8" t="n"/>
      <c r="F887" s="8" t="n"/>
      <c r="G887" s="8">
        <f>IF(OR(ISBLANK(E887),ISBLANK(F887)),"",IF(E887&gt;F887,"Local",IF(E887=F887,"Empate","Visitante")))</f>
        <v/>
      </c>
      <c r="H887" s="8">
        <f>IF(VLOOKUP(B887,PARTIDOS!$A:$I,9,FALSE)="Cerrado",IF(G887=VLOOKUP(B887,PARTIDOS!$A:$I,8,FALSE),IF(AND(E887=VLOOKUP(B887,PARTIDOS!$A:$I,6,FALSE),F887=VLOOKUP(B887,PARTIDOS!$A:$I,7,FALSE)),3,1),0),"")</f>
        <v/>
      </c>
    </row>
    <row r="888" ht="20.1" customHeight="1">
      <c r="A888" s="12" t="inlineStr">
        <is>
          <t>Jugador 13</t>
        </is>
      </c>
      <c r="B888" s="8" t="inlineStr">
        <is>
          <t>M23</t>
        </is>
      </c>
      <c r="C888" s="12" t="inlineStr">
        <is>
          <t>España</t>
        </is>
      </c>
      <c r="D888" s="12" t="inlineStr">
        <is>
          <t>Alemania</t>
        </is>
      </c>
      <c r="E888" s="8" t="n"/>
      <c r="F888" s="8" t="n"/>
      <c r="G888" s="8">
        <f>IF(OR(ISBLANK(E888),ISBLANK(F888)),"",IF(E888&gt;F888,"Local",IF(E888=F888,"Empate","Visitante")))</f>
        <v/>
      </c>
      <c r="H888" s="8">
        <f>IF(VLOOKUP(B888,PARTIDOS!$A:$I,9,FALSE)="Cerrado",IF(G888=VLOOKUP(B888,PARTIDOS!$A:$I,8,FALSE),IF(AND(E888=VLOOKUP(B888,PARTIDOS!$A:$I,6,FALSE),F888=VLOOKUP(B888,PARTIDOS!$A:$I,7,FALSE)),3,1),0),"")</f>
        <v/>
      </c>
    </row>
    <row r="889" ht="20.1" customHeight="1">
      <c r="A889" s="12" t="inlineStr">
        <is>
          <t>Jugador 13</t>
        </is>
      </c>
      <c r="B889" s="8" t="inlineStr">
        <is>
          <t>M24</t>
        </is>
      </c>
      <c r="C889" s="12" t="inlineStr">
        <is>
          <t>Francia</t>
        </is>
      </c>
      <c r="D889" s="12" t="inlineStr">
        <is>
          <t>Inglaterra</t>
        </is>
      </c>
      <c r="E889" s="8" t="n"/>
      <c r="F889" s="8" t="n"/>
      <c r="G889" s="8">
        <f>IF(OR(ISBLANK(E889),ISBLANK(F889)),"",IF(E889&gt;F889,"Local",IF(E889=F889,"Empate","Visitante")))</f>
        <v/>
      </c>
      <c r="H889" s="8">
        <f>IF(VLOOKUP(B889,PARTIDOS!$A:$I,9,FALSE)="Cerrado",IF(G889=VLOOKUP(B889,PARTIDOS!$A:$I,8,FALSE),IF(AND(E889=VLOOKUP(B889,PARTIDOS!$A:$I,6,FALSE),F889=VLOOKUP(B889,PARTIDOS!$A:$I,7,FALSE)),3,1),0),"")</f>
        <v/>
      </c>
    </row>
    <row r="890" ht="20.1" customHeight="1">
      <c r="A890" s="12" t="inlineStr">
        <is>
          <t>Jugador 13</t>
        </is>
      </c>
      <c r="B890" s="8" t="inlineStr">
        <is>
          <t>M25</t>
        </is>
      </c>
      <c r="C890" s="12" t="inlineStr">
        <is>
          <t>Portugal</t>
        </is>
      </c>
      <c r="D890" s="12" t="inlineStr">
        <is>
          <t>Bélgica</t>
        </is>
      </c>
      <c r="E890" s="8" t="n"/>
      <c r="F890" s="8" t="n"/>
      <c r="G890" s="8">
        <f>IF(OR(ISBLANK(E890),ISBLANK(F890)),"",IF(E890&gt;F890,"Local",IF(E890=F890,"Empate","Visitante")))</f>
        <v/>
      </c>
      <c r="H890" s="8">
        <f>IF(VLOOKUP(B890,PARTIDOS!$A:$I,9,FALSE)="Cerrado",IF(G890=VLOOKUP(B890,PARTIDOS!$A:$I,8,FALSE),IF(AND(E890=VLOOKUP(B890,PARTIDOS!$A:$I,6,FALSE),F890=VLOOKUP(B890,PARTIDOS!$A:$I,7,FALSE)),3,1),0),"")</f>
        <v/>
      </c>
    </row>
    <row r="891" ht="20.1" customHeight="1">
      <c r="A891" s="12" t="inlineStr">
        <is>
          <t>Jugador 13</t>
        </is>
      </c>
      <c r="B891" s="8" t="inlineStr">
        <is>
          <t>M26</t>
        </is>
      </c>
      <c r="C891" s="12" t="inlineStr">
        <is>
          <t>Países Bajos</t>
        </is>
      </c>
      <c r="D891" s="12" t="inlineStr">
        <is>
          <t>Italia</t>
        </is>
      </c>
      <c r="E891" s="8" t="n"/>
      <c r="F891" s="8" t="n"/>
      <c r="G891" s="8">
        <f>IF(OR(ISBLANK(E891),ISBLANK(F891)),"",IF(E891&gt;F891,"Local",IF(E891=F891,"Empate","Visitante")))</f>
        <v/>
      </c>
      <c r="H891" s="8">
        <f>IF(VLOOKUP(B891,PARTIDOS!$A:$I,9,FALSE)="Cerrado",IF(G891=VLOOKUP(B891,PARTIDOS!$A:$I,8,FALSE),IF(AND(E891=VLOOKUP(B891,PARTIDOS!$A:$I,6,FALSE),F891=VLOOKUP(B891,PARTIDOS!$A:$I,7,FALSE)),3,1),0),"")</f>
        <v/>
      </c>
    </row>
    <row r="892" ht="20.1" customHeight="1">
      <c r="A892" s="12" t="inlineStr">
        <is>
          <t>Jugador 13</t>
        </is>
      </c>
      <c r="B892" s="8" t="inlineStr">
        <is>
          <t>M27</t>
        </is>
      </c>
      <c r="C892" s="12" t="inlineStr">
        <is>
          <t>Portugal</t>
        </is>
      </c>
      <c r="D892" s="12" t="inlineStr">
        <is>
          <t>Países Bajos</t>
        </is>
      </c>
      <c r="E892" s="8" t="n"/>
      <c r="F892" s="8" t="n"/>
      <c r="G892" s="8">
        <f>IF(OR(ISBLANK(E892),ISBLANK(F892)),"",IF(E892&gt;F892,"Local",IF(E892=F892,"Empate","Visitante")))</f>
        <v/>
      </c>
      <c r="H892" s="8">
        <f>IF(VLOOKUP(B892,PARTIDOS!$A:$I,9,FALSE)="Cerrado",IF(G892=VLOOKUP(B892,PARTIDOS!$A:$I,8,FALSE),IF(AND(E892=VLOOKUP(B892,PARTIDOS!$A:$I,6,FALSE),F892=VLOOKUP(B892,PARTIDOS!$A:$I,7,FALSE)),3,1),0),"")</f>
        <v/>
      </c>
    </row>
    <row r="893" ht="20.1" customHeight="1">
      <c r="A893" s="12" t="inlineStr">
        <is>
          <t>Jugador 13</t>
        </is>
      </c>
      <c r="B893" s="8" t="inlineStr">
        <is>
          <t>M28</t>
        </is>
      </c>
      <c r="C893" s="12" t="inlineStr">
        <is>
          <t>Bélgica</t>
        </is>
      </c>
      <c r="D893" s="12" t="inlineStr">
        <is>
          <t>Italia</t>
        </is>
      </c>
      <c r="E893" s="8" t="n"/>
      <c r="F893" s="8" t="n"/>
      <c r="G893" s="8">
        <f>IF(OR(ISBLANK(E893),ISBLANK(F893)),"",IF(E893&gt;F893,"Local",IF(E893=F893,"Empate","Visitante")))</f>
        <v/>
      </c>
      <c r="H893" s="8">
        <f>IF(VLOOKUP(B893,PARTIDOS!$A:$I,9,FALSE)="Cerrado",IF(G893=VLOOKUP(B893,PARTIDOS!$A:$I,8,FALSE),IF(AND(E893=VLOOKUP(B893,PARTIDOS!$A:$I,6,FALSE),F893=VLOOKUP(B893,PARTIDOS!$A:$I,7,FALSE)),3,1),0),"")</f>
        <v/>
      </c>
    </row>
    <row r="894" ht="20.1" customHeight="1">
      <c r="A894" s="12" t="inlineStr">
        <is>
          <t>Jugador 13</t>
        </is>
      </c>
      <c r="B894" s="8" t="inlineStr">
        <is>
          <t>M29</t>
        </is>
      </c>
      <c r="C894" s="12" t="inlineStr">
        <is>
          <t>Portugal</t>
        </is>
      </c>
      <c r="D894" s="12" t="inlineStr">
        <is>
          <t>Italia</t>
        </is>
      </c>
      <c r="E894" s="8" t="n"/>
      <c r="F894" s="8" t="n"/>
      <c r="G894" s="8">
        <f>IF(OR(ISBLANK(E894),ISBLANK(F894)),"",IF(E894&gt;F894,"Local",IF(E894=F894,"Empate","Visitante")))</f>
        <v/>
      </c>
      <c r="H894" s="8">
        <f>IF(VLOOKUP(B894,PARTIDOS!$A:$I,9,FALSE)="Cerrado",IF(G894=VLOOKUP(B894,PARTIDOS!$A:$I,8,FALSE),IF(AND(E894=VLOOKUP(B894,PARTIDOS!$A:$I,6,FALSE),F894=VLOOKUP(B894,PARTIDOS!$A:$I,7,FALSE)),3,1),0),"")</f>
        <v/>
      </c>
    </row>
    <row r="895" ht="20.1" customHeight="1">
      <c r="A895" s="12" t="inlineStr">
        <is>
          <t>Jugador 13</t>
        </is>
      </c>
      <c r="B895" s="8" t="inlineStr">
        <is>
          <t>M30</t>
        </is>
      </c>
      <c r="C895" s="12" t="inlineStr">
        <is>
          <t>Bélgica</t>
        </is>
      </c>
      <c r="D895" s="12" t="inlineStr">
        <is>
          <t>Países Bajos</t>
        </is>
      </c>
      <c r="E895" s="8" t="n"/>
      <c r="F895" s="8" t="n"/>
      <c r="G895" s="8">
        <f>IF(OR(ISBLANK(E895),ISBLANK(F895)),"",IF(E895&gt;F895,"Local",IF(E895=F895,"Empate","Visitante")))</f>
        <v/>
      </c>
      <c r="H895" s="8">
        <f>IF(VLOOKUP(B895,PARTIDOS!$A:$I,9,FALSE)="Cerrado",IF(G895=VLOOKUP(B895,PARTIDOS!$A:$I,8,FALSE),IF(AND(E895=VLOOKUP(B895,PARTIDOS!$A:$I,6,FALSE),F895=VLOOKUP(B895,PARTIDOS!$A:$I,7,FALSE)),3,1),0),"")</f>
        <v/>
      </c>
    </row>
    <row r="896" ht="20.1" customHeight="1">
      <c r="A896" s="12" t="inlineStr">
        <is>
          <t>Jugador 13</t>
        </is>
      </c>
      <c r="B896" s="8" t="inlineStr">
        <is>
          <t>M31</t>
        </is>
      </c>
      <c r="C896" s="12" t="inlineStr">
        <is>
          <t>Croacia</t>
        </is>
      </c>
      <c r="D896" s="12" t="inlineStr">
        <is>
          <t>Suiza</t>
        </is>
      </c>
      <c r="E896" s="8" t="n"/>
      <c r="F896" s="8" t="n"/>
      <c r="G896" s="8">
        <f>IF(OR(ISBLANK(E896),ISBLANK(F896)),"",IF(E896&gt;F896,"Local",IF(E896=F896,"Empate","Visitante")))</f>
        <v/>
      </c>
      <c r="H896" s="8">
        <f>IF(VLOOKUP(B896,PARTIDOS!$A:$I,9,FALSE)="Cerrado",IF(G896=VLOOKUP(B896,PARTIDOS!$A:$I,8,FALSE),IF(AND(E896=VLOOKUP(B896,PARTIDOS!$A:$I,6,FALSE),F896=VLOOKUP(B896,PARTIDOS!$A:$I,7,FALSE)),3,1),0),"")</f>
        <v/>
      </c>
    </row>
    <row r="897" ht="20.1" customHeight="1">
      <c r="A897" s="12" t="inlineStr">
        <is>
          <t>Jugador 13</t>
        </is>
      </c>
      <c r="B897" s="8" t="inlineStr">
        <is>
          <t>M32</t>
        </is>
      </c>
      <c r="C897" s="12" t="inlineStr">
        <is>
          <t>Dinamarca</t>
        </is>
      </c>
      <c r="D897" s="12" t="inlineStr">
        <is>
          <t>Serbia</t>
        </is>
      </c>
      <c r="E897" s="8" t="n"/>
      <c r="F897" s="8" t="n"/>
      <c r="G897" s="8">
        <f>IF(OR(ISBLANK(E897),ISBLANK(F897)),"",IF(E897&gt;F897,"Local",IF(E897=F897,"Empate","Visitante")))</f>
        <v/>
      </c>
      <c r="H897" s="8">
        <f>IF(VLOOKUP(B897,PARTIDOS!$A:$I,9,FALSE)="Cerrado",IF(G897=VLOOKUP(B897,PARTIDOS!$A:$I,8,FALSE),IF(AND(E897=VLOOKUP(B897,PARTIDOS!$A:$I,6,FALSE),F897=VLOOKUP(B897,PARTIDOS!$A:$I,7,FALSE)),3,1),0),"")</f>
        <v/>
      </c>
    </row>
    <row r="898" ht="20.1" customHeight="1">
      <c r="A898" s="12" t="inlineStr">
        <is>
          <t>Jugador 13</t>
        </is>
      </c>
      <c r="B898" s="8" t="inlineStr">
        <is>
          <t>M33</t>
        </is>
      </c>
      <c r="C898" s="12" t="inlineStr">
        <is>
          <t>Croacia</t>
        </is>
      </c>
      <c r="D898" s="12" t="inlineStr">
        <is>
          <t>Dinamarca</t>
        </is>
      </c>
      <c r="E898" s="8" t="n"/>
      <c r="F898" s="8" t="n"/>
      <c r="G898" s="8">
        <f>IF(OR(ISBLANK(E898),ISBLANK(F898)),"",IF(E898&gt;F898,"Local",IF(E898=F898,"Empate","Visitante")))</f>
        <v/>
      </c>
      <c r="H898" s="8">
        <f>IF(VLOOKUP(B898,PARTIDOS!$A:$I,9,FALSE)="Cerrado",IF(G898=VLOOKUP(B898,PARTIDOS!$A:$I,8,FALSE),IF(AND(E898=VLOOKUP(B898,PARTIDOS!$A:$I,6,FALSE),F898=VLOOKUP(B898,PARTIDOS!$A:$I,7,FALSE)),3,1),0),"")</f>
        <v/>
      </c>
    </row>
    <row r="899" ht="20.1" customHeight="1">
      <c r="A899" s="12" t="inlineStr">
        <is>
          <t>Jugador 13</t>
        </is>
      </c>
      <c r="B899" s="8" t="inlineStr">
        <is>
          <t>M34</t>
        </is>
      </c>
      <c r="C899" s="12" t="inlineStr">
        <is>
          <t>Suiza</t>
        </is>
      </c>
      <c r="D899" s="12" t="inlineStr">
        <is>
          <t>Serbia</t>
        </is>
      </c>
      <c r="E899" s="8" t="n"/>
      <c r="F899" s="8" t="n"/>
      <c r="G899" s="8">
        <f>IF(OR(ISBLANK(E899),ISBLANK(F899)),"",IF(E899&gt;F899,"Local",IF(E899=F899,"Empate","Visitante")))</f>
        <v/>
      </c>
      <c r="H899" s="8">
        <f>IF(VLOOKUP(B899,PARTIDOS!$A:$I,9,FALSE)="Cerrado",IF(G899=VLOOKUP(B899,PARTIDOS!$A:$I,8,FALSE),IF(AND(E899=VLOOKUP(B899,PARTIDOS!$A:$I,6,FALSE),F899=VLOOKUP(B899,PARTIDOS!$A:$I,7,FALSE)),3,1),0),"")</f>
        <v/>
      </c>
    </row>
    <row r="900" ht="20.1" customHeight="1">
      <c r="A900" s="12" t="inlineStr">
        <is>
          <t>Jugador 13</t>
        </is>
      </c>
      <c r="B900" s="8" t="inlineStr">
        <is>
          <t>M35</t>
        </is>
      </c>
      <c r="C900" s="12" t="inlineStr">
        <is>
          <t>Croacia</t>
        </is>
      </c>
      <c r="D900" s="12" t="inlineStr">
        <is>
          <t>Serbia</t>
        </is>
      </c>
      <c r="E900" s="8" t="n"/>
      <c r="F900" s="8" t="n"/>
      <c r="G900" s="8">
        <f>IF(OR(ISBLANK(E900),ISBLANK(F900)),"",IF(E900&gt;F900,"Local",IF(E900=F900,"Empate","Visitante")))</f>
        <v/>
      </c>
      <c r="H900" s="8">
        <f>IF(VLOOKUP(B900,PARTIDOS!$A:$I,9,FALSE)="Cerrado",IF(G900=VLOOKUP(B900,PARTIDOS!$A:$I,8,FALSE),IF(AND(E900=VLOOKUP(B900,PARTIDOS!$A:$I,6,FALSE),F900=VLOOKUP(B900,PARTIDOS!$A:$I,7,FALSE)),3,1),0),"")</f>
        <v/>
      </c>
    </row>
    <row r="901" ht="20.1" customHeight="1">
      <c r="A901" s="12" t="inlineStr">
        <is>
          <t>Jugador 13</t>
        </is>
      </c>
      <c r="B901" s="8" t="inlineStr">
        <is>
          <t>M36</t>
        </is>
      </c>
      <c r="C901" s="12" t="inlineStr">
        <is>
          <t>Suiza</t>
        </is>
      </c>
      <c r="D901" s="12" t="inlineStr">
        <is>
          <t>Dinamarca</t>
        </is>
      </c>
      <c r="E901" s="8" t="n"/>
      <c r="F901" s="8" t="n"/>
      <c r="G901" s="8">
        <f>IF(OR(ISBLANK(E901),ISBLANK(F901)),"",IF(E901&gt;F901,"Local",IF(E901=F901,"Empate","Visitante")))</f>
        <v/>
      </c>
      <c r="H901" s="8">
        <f>IF(VLOOKUP(B901,PARTIDOS!$A:$I,9,FALSE)="Cerrado",IF(G901=VLOOKUP(B901,PARTIDOS!$A:$I,8,FALSE),IF(AND(E901=VLOOKUP(B901,PARTIDOS!$A:$I,6,FALSE),F901=VLOOKUP(B901,PARTIDOS!$A:$I,7,FALSE)),3,1),0),"")</f>
        <v/>
      </c>
    </row>
    <row r="902" ht="20.1" customHeight="1">
      <c r="A902" s="12" t="inlineStr">
        <is>
          <t>Jugador 13</t>
        </is>
      </c>
      <c r="B902" s="8" t="inlineStr">
        <is>
          <t>M37</t>
        </is>
      </c>
      <c r="C902" s="12" t="inlineStr">
        <is>
          <t>Polonia</t>
        </is>
      </c>
      <c r="D902" s="12" t="inlineStr">
        <is>
          <t>Ucrania</t>
        </is>
      </c>
      <c r="E902" s="8" t="n"/>
      <c r="F902" s="8" t="n"/>
      <c r="G902" s="8">
        <f>IF(OR(ISBLANK(E902),ISBLANK(F902)),"",IF(E902&gt;F902,"Local",IF(E902=F902,"Empate","Visitante")))</f>
        <v/>
      </c>
      <c r="H902" s="8">
        <f>IF(VLOOKUP(B902,PARTIDOS!$A:$I,9,FALSE)="Cerrado",IF(G902=VLOOKUP(B902,PARTIDOS!$A:$I,8,FALSE),IF(AND(E902=VLOOKUP(B902,PARTIDOS!$A:$I,6,FALSE),F902=VLOOKUP(B902,PARTIDOS!$A:$I,7,FALSE)),3,1),0),"")</f>
        <v/>
      </c>
    </row>
    <row r="903" ht="20.1" customHeight="1">
      <c r="A903" s="12" t="inlineStr">
        <is>
          <t>Jugador 13</t>
        </is>
      </c>
      <c r="B903" s="8" t="inlineStr">
        <is>
          <t>M38</t>
        </is>
      </c>
      <c r="C903" s="12" t="inlineStr">
        <is>
          <t>Suecia</t>
        </is>
      </c>
      <c r="D903" s="12" t="inlineStr">
        <is>
          <t>Gales</t>
        </is>
      </c>
      <c r="E903" s="8" t="n"/>
      <c r="F903" s="8" t="n"/>
      <c r="G903" s="8">
        <f>IF(OR(ISBLANK(E903),ISBLANK(F903)),"",IF(E903&gt;F903,"Local",IF(E903=F903,"Empate","Visitante")))</f>
        <v/>
      </c>
      <c r="H903" s="8">
        <f>IF(VLOOKUP(B903,PARTIDOS!$A:$I,9,FALSE)="Cerrado",IF(G903=VLOOKUP(B903,PARTIDOS!$A:$I,8,FALSE),IF(AND(E903=VLOOKUP(B903,PARTIDOS!$A:$I,6,FALSE),F903=VLOOKUP(B903,PARTIDOS!$A:$I,7,FALSE)),3,1),0),"")</f>
        <v/>
      </c>
    </row>
    <row r="904" ht="20.1" customHeight="1">
      <c r="A904" s="12" t="inlineStr">
        <is>
          <t>Jugador 13</t>
        </is>
      </c>
      <c r="B904" s="8" t="inlineStr">
        <is>
          <t>M39</t>
        </is>
      </c>
      <c r="C904" s="12" t="inlineStr">
        <is>
          <t>Polonia</t>
        </is>
      </c>
      <c r="D904" s="12" t="inlineStr">
        <is>
          <t>Suecia</t>
        </is>
      </c>
      <c r="E904" s="8" t="n"/>
      <c r="F904" s="8" t="n"/>
      <c r="G904" s="8">
        <f>IF(OR(ISBLANK(E904),ISBLANK(F904)),"",IF(E904&gt;F904,"Local",IF(E904=F904,"Empate","Visitante")))</f>
        <v/>
      </c>
      <c r="H904" s="8">
        <f>IF(VLOOKUP(B904,PARTIDOS!$A:$I,9,FALSE)="Cerrado",IF(G904=VLOOKUP(B904,PARTIDOS!$A:$I,8,FALSE),IF(AND(E904=VLOOKUP(B904,PARTIDOS!$A:$I,6,FALSE),F904=VLOOKUP(B904,PARTIDOS!$A:$I,7,FALSE)),3,1),0),"")</f>
        <v/>
      </c>
    </row>
    <row r="905" ht="20.1" customHeight="1">
      <c r="A905" s="12" t="inlineStr">
        <is>
          <t>Jugador 13</t>
        </is>
      </c>
      <c r="B905" s="8" t="inlineStr">
        <is>
          <t>M40</t>
        </is>
      </c>
      <c r="C905" s="12" t="inlineStr">
        <is>
          <t>Ucrania</t>
        </is>
      </c>
      <c r="D905" s="12" t="inlineStr">
        <is>
          <t>Gales</t>
        </is>
      </c>
      <c r="E905" s="8" t="n"/>
      <c r="F905" s="8" t="n"/>
      <c r="G905" s="8">
        <f>IF(OR(ISBLANK(E905),ISBLANK(F905)),"",IF(E905&gt;F905,"Local",IF(E905=F905,"Empate","Visitante")))</f>
        <v/>
      </c>
      <c r="H905" s="8">
        <f>IF(VLOOKUP(B905,PARTIDOS!$A:$I,9,FALSE)="Cerrado",IF(G905=VLOOKUP(B905,PARTIDOS!$A:$I,8,FALSE),IF(AND(E905=VLOOKUP(B905,PARTIDOS!$A:$I,6,FALSE),F905=VLOOKUP(B905,PARTIDOS!$A:$I,7,FALSE)),3,1),0),"")</f>
        <v/>
      </c>
    </row>
    <row r="906" ht="20.1" customHeight="1">
      <c r="A906" s="12" t="inlineStr">
        <is>
          <t>Jugador 13</t>
        </is>
      </c>
      <c r="B906" s="8" t="inlineStr">
        <is>
          <t>M41</t>
        </is>
      </c>
      <c r="C906" s="12" t="inlineStr">
        <is>
          <t>Polonia</t>
        </is>
      </c>
      <c r="D906" s="12" t="inlineStr">
        <is>
          <t>Gales</t>
        </is>
      </c>
      <c r="E906" s="8" t="n"/>
      <c r="F906" s="8" t="n"/>
      <c r="G906" s="8">
        <f>IF(OR(ISBLANK(E906),ISBLANK(F906)),"",IF(E906&gt;F906,"Local",IF(E906=F906,"Empate","Visitante")))</f>
        <v/>
      </c>
      <c r="H906" s="8">
        <f>IF(VLOOKUP(B906,PARTIDOS!$A:$I,9,FALSE)="Cerrado",IF(G906=VLOOKUP(B906,PARTIDOS!$A:$I,8,FALSE),IF(AND(E906=VLOOKUP(B906,PARTIDOS!$A:$I,6,FALSE),F906=VLOOKUP(B906,PARTIDOS!$A:$I,7,FALSE)),3,1),0),"")</f>
        <v/>
      </c>
    </row>
    <row r="907" ht="20.1" customHeight="1">
      <c r="A907" s="12" t="inlineStr">
        <is>
          <t>Jugador 13</t>
        </is>
      </c>
      <c r="B907" s="8" t="inlineStr">
        <is>
          <t>M42</t>
        </is>
      </c>
      <c r="C907" s="12" t="inlineStr">
        <is>
          <t>Ucrania</t>
        </is>
      </c>
      <c r="D907" s="12" t="inlineStr">
        <is>
          <t>Suecia</t>
        </is>
      </c>
      <c r="E907" s="8" t="n"/>
      <c r="F907" s="8" t="n"/>
      <c r="G907" s="8">
        <f>IF(OR(ISBLANK(E907),ISBLANK(F907)),"",IF(E907&gt;F907,"Local",IF(E907=F907,"Empate","Visitante")))</f>
        <v/>
      </c>
      <c r="H907" s="8">
        <f>IF(VLOOKUP(B907,PARTIDOS!$A:$I,9,FALSE)="Cerrado",IF(G907=VLOOKUP(B907,PARTIDOS!$A:$I,8,FALSE),IF(AND(E907=VLOOKUP(B907,PARTIDOS!$A:$I,6,FALSE),F907=VLOOKUP(B907,PARTIDOS!$A:$I,7,FALSE)),3,1),0),"")</f>
        <v/>
      </c>
    </row>
    <row r="908" ht="20.1" customHeight="1">
      <c r="A908" s="12" t="inlineStr">
        <is>
          <t>Jugador 13</t>
        </is>
      </c>
      <c r="B908" s="8" t="inlineStr">
        <is>
          <t>M43</t>
        </is>
      </c>
      <c r="C908" s="12" t="inlineStr">
        <is>
          <t>Austria</t>
        </is>
      </c>
      <c r="D908" s="12" t="inlineStr">
        <is>
          <t>Hungría</t>
        </is>
      </c>
      <c r="E908" s="8" t="n"/>
      <c r="F908" s="8" t="n"/>
      <c r="G908" s="8">
        <f>IF(OR(ISBLANK(E908),ISBLANK(F908)),"",IF(E908&gt;F908,"Local",IF(E908=F908,"Empate","Visitante")))</f>
        <v/>
      </c>
      <c r="H908" s="8">
        <f>IF(VLOOKUP(B908,PARTIDOS!$A:$I,9,FALSE)="Cerrado",IF(G908=VLOOKUP(B908,PARTIDOS!$A:$I,8,FALSE),IF(AND(E908=VLOOKUP(B908,PARTIDOS!$A:$I,6,FALSE),F908=VLOOKUP(B908,PARTIDOS!$A:$I,7,FALSE)),3,1),0),"")</f>
        <v/>
      </c>
    </row>
    <row r="909" ht="20.1" customHeight="1">
      <c r="A909" s="12" t="inlineStr">
        <is>
          <t>Jugador 13</t>
        </is>
      </c>
      <c r="B909" s="8" t="inlineStr">
        <is>
          <t>M44</t>
        </is>
      </c>
      <c r="C909" s="12" t="inlineStr">
        <is>
          <t>Turquía</t>
        </is>
      </c>
      <c r="D909" s="12" t="inlineStr">
        <is>
          <t>Escocia</t>
        </is>
      </c>
      <c r="E909" s="8" t="n"/>
      <c r="F909" s="8" t="n"/>
      <c r="G909" s="8">
        <f>IF(OR(ISBLANK(E909),ISBLANK(F909)),"",IF(E909&gt;F909,"Local",IF(E909=F909,"Empate","Visitante")))</f>
        <v/>
      </c>
      <c r="H909" s="8">
        <f>IF(VLOOKUP(B909,PARTIDOS!$A:$I,9,FALSE)="Cerrado",IF(G909=VLOOKUP(B909,PARTIDOS!$A:$I,8,FALSE),IF(AND(E909=VLOOKUP(B909,PARTIDOS!$A:$I,6,FALSE),F909=VLOOKUP(B909,PARTIDOS!$A:$I,7,FALSE)),3,1),0),"")</f>
        <v/>
      </c>
    </row>
    <row r="910" ht="20.1" customHeight="1">
      <c r="A910" s="12" t="inlineStr">
        <is>
          <t>Jugador 13</t>
        </is>
      </c>
      <c r="B910" s="8" t="inlineStr">
        <is>
          <t>M45</t>
        </is>
      </c>
      <c r="C910" s="12" t="inlineStr">
        <is>
          <t>Austria</t>
        </is>
      </c>
      <c r="D910" s="12" t="inlineStr">
        <is>
          <t>Turquía</t>
        </is>
      </c>
      <c r="E910" s="8" t="n"/>
      <c r="F910" s="8" t="n"/>
      <c r="G910" s="8">
        <f>IF(OR(ISBLANK(E910),ISBLANK(F910)),"",IF(E910&gt;F910,"Local",IF(E910=F910,"Empate","Visitante")))</f>
        <v/>
      </c>
      <c r="H910" s="8">
        <f>IF(VLOOKUP(B910,PARTIDOS!$A:$I,9,FALSE)="Cerrado",IF(G910=VLOOKUP(B910,PARTIDOS!$A:$I,8,FALSE),IF(AND(E910=VLOOKUP(B910,PARTIDOS!$A:$I,6,FALSE),F910=VLOOKUP(B910,PARTIDOS!$A:$I,7,FALSE)),3,1),0),"")</f>
        <v/>
      </c>
    </row>
    <row r="911" ht="20.1" customHeight="1">
      <c r="A911" s="12" t="inlineStr">
        <is>
          <t>Jugador 13</t>
        </is>
      </c>
      <c r="B911" s="8" t="inlineStr">
        <is>
          <t>M46</t>
        </is>
      </c>
      <c r="C911" s="12" t="inlineStr">
        <is>
          <t>Hungría</t>
        </is>
      </c>
      <c r="D911" s="12" t="inlineStr">
        <is>
          <t>Escocia</t>
        </is>
      </c>
      <c r="E911" s="8" t="n"/>
      <c r="F911" s="8" t="n"/>
      <c r="G911" s="8">
        <f>IF(OR(ISBLANK(E911),ISBLANK(F911)),"",IF(E911&gt;F911,"Local",IF(E911=F911,"Empate","Visitante")))</f>
        <v/>
      </c>
      <c r="H911" s="8">
        <f>IF(VLOOKUP(B911,PARTIDOS!$A:$I,9,FALSE)="Cerrado",IF(G911=VLOOKUP(B911,PARTIDOS!$A:$I,8,FALSE),IF(AND(E911=VLOOKUP(B911,PARTIDOS!$A:$I,6,FALSE),F911=VLOOKUP(B911,PARTIDOS!$A:$I,7,FALSE)),3,1),0),"")</f>
        <v/>
      </c>
    </row>
    <row r="912" ht="20.1" customHeight="1">
      <c r="A912" s="12" t="inlineStr">
        <is>
          <t>Jugador 13</t>
        </is>
      </c>
      <c r="B912" s="8" t="inlineStr">
        <is>
          <t>M47</t>
        </is>
      </c>
      <c r="C912" s="12" t="inlineStr">
        <is>
          <t>Austria</t>
        </is>
      </c>
      <c r="D912" s="12" t="inlineStr">
        <is>
          <t>Escocia</t>
        </is>
      </c>
      <c r="E912" s="8" t="n"/>
      <c r="F912" s="8" t="n"/>
      <c r="G912" s="8">
        <f>IF(OR(ISBLANK(E912),ISBLANK(F912)),"",IF(E912&gt;F912,"Local",IF(E912=F912,"Empate","Visitante")))</f>
        <v/>
      </c>
      <c r="H912" s="8">
        <f>IF(VLOOKUP(B912,PARTIDOS!$A:$I,9,FALSE)="Cerrado",IF(G912=VLOOKUP(B912,PARTIDOS!$A:$I,8,FALSE),IF(AND(E912=VLOOKUP(B912,PARTIDOS!$A:$I,6,FALSE),F912=VLOOKUP(B912,PARTIDOS!$A:$I,7,FALSE)),3,1),0),"")</f>
        <v/>
      </c>
    </row>
    <row r="913" ht="20.1" customHeight="1">
      <c r="A913" s="12" t="inlineStr">
        <is>
          <t>Jugador 13</t>
        </is>
      </c>
      <c r="B913" s="8" t="inlineStr">
        <is>
          <t>M48</t>
        </is>
      </c>
      <c r="C913" s="12" t="inlineStr">
        <is>
          <t>Hungría</t>
        </is>
      </c>
      <c r="D913" s="12" t="inlineStr">
        <is>
          <t>Turquía</t>
        </is>
      </c>
      <c r="E913" s="8" t="n"/>
      <c r="F913" s="8" t="n"/>
      <c r="G913" s="8">
        <f>IF(OR(ISBLANK(E913),ISBLANK(F913)),"",IF(E913&gt;F913,"Local",IF(E913=F913,"Empate","Visitante")))</f>
        <v/>
      </c>
      <c r="H913" s="8">
        <f>IF(VLOOKUP(B913,PARTIDOS!$A:$I,9,FALSE)="Cerrado",IF(G913=VLOOKUP(B913,PARTIDOS!$A:$I,8,FALSE),IF(AND(E913=VLOOKUP(B913,PARTIDOS!$A:$I,6,FALSE),F913=VLOOKUP(B913,PARTIDOS!$A:$I,7,FALSE)),3,1),0),"")</f>
        <v/>
      </c>
    </row>
    <row r="914" ht="20.1" customHeight="1">
      <c r="A914" s="12" t="inlineStr">
        <is>
          <t>Jugador 13</t>
        </is>
      </c>
      <c r="B914" s="8" t="inlineStr">
        <is>
          <t>M49</t>
        </is>
      </c>
      <c r="C914" s="12" t="inlineStr">
        <is>
          <t>República Checa</t>
        </is>
      </c>
      <c r="D914" s="12" t="inlineStr">
        <is>
          <t>Noruega</t>
        </is>
      </c>
      <c r="E914" s="8" t="n"/>
      <c r="F914" s="8" t="n"/>
      <c r="G914" s="8">
        <f>IF(OR(ISBLANK(E914),ISBLANK(F914)),"",IF(E914&gt;F914,"Local",IF(E914=F914,"Empate","Visitante")))</f>
        <v/>
      </c>
      <c r="H914" s="8">
        <f>IF(VLOOKUP(B914,PARTIDOS!$A:$I,9,FALSE)="Cerrado",IF(G914=VLOOKUP(B914,PARTIDOS!$A:$I,8,FALSE),IF(AND(E914=VLOOKUP(B914,PARTIDOS!$A:$I,6,FALSE),F914=VLOOKUP(B914,PARTIDOS!$A:$I,7,FALSE)),3,1),0),"")</f>
        <v/>
      </c>
    </row>
    <row r="915" ht="20.1" customHeight="1">
      <c r="A915" s="12" t="inlineStr">
        <is>
          <t>Jugador 13</t>
        </is>
      </c>
      <c r="B915" s="8" t="inlineStr">
        <is>
          <t>M50</t>
        </is>
      </c>
      <c r="C915" s="12" t="inlineStr">
        <is>
          <t>Japón</t>
        </is>
      </c>
      <c r="D915" s="12" t="inlineStr">
        <is>
          <t>Irán</t>
        </is>
      </c>
      <c r="E915" s="8" t="n"/>
      <c r="F915" s="8" t="n"/>
      <c r="G915" s="8">
        <f>IF(OR(ISBLANK(E915),ISBLANK(F915)),"",IF(E915&gt;F915,"Local",IF(E915=F915,"Empate","Visitante")))</f>
        <v/>
      </c>
      <c r="H915" s="8">
        <f>IF(VLOOKUP(B915,PARTIDOS!$A:$I,9,FALSE)="Cerrado",IF(G915=VLOOKUP(B915,PARTIDOS!$A:$I,8,FALSE),IF(AND(E915=VLOOKUP(B915,PARTIDOS!$A:$I,6,FALSE),F915=VLOOKUP(B915,PARTIDOS!$A:$I,7,FALSE)),3,1),0),"")</f>
        <v/>
      </c>
    </row>
    <row r="916" ht="20.1" customHeight="1">
      <c r="A916" s="12" t="inlineStr">
        <is>
          <t>Jugador 13</t>
        </is>
      </c>
      <c r="B916" s="8" t="inlineStr">
        <is>
          <t>M51</t>
        </is>
      </c>
      <c r="C916" s="12" t="inlineStr">
        <is>
          <t>República Checa</t>
        </is>
      </c>
      <c r="D916" s="12" t="inlineStr">
        <is>
          <t>Japón</t>
        </is>
      </c>
      <c r="E916" s="8" t="n"/>
      <c r="F916" s="8" t="n"/>
      <c r="G916" s="8">
        <f>IF(OR(ISBLANK(E916),ISBLANK(F916)),"",IF(E916&gt;F916,"Local",IF(E916=F916,"Empate","Visitante")))</f>
        <v/>
      </c>
      <c r="H916" s="8">
        <f>IF(VLOOKUP(B916,PARTIDOS!$A:$I,9,FALSE)="Cerrado",IF(G916=VLOOKUP(B916,PARTIDOS!$A:$I,8,FALSE),IF(AND(E916=VLOOKUP(B916,PARTIDOS!$A:$I,6,FALSE),F916=VLOOKUP(B916,PARTIDOS!$A:$I,7,FALSE)),3,1),0),"")</f>
        <v/>
      </c>
    </row>
    <row r="917" ht="20.1" customHeight="1">
      <c r="A917" s="12" t="inlineStr">
        <is>
          <t>Jugador 13</t>
        </is>
      </c>
      <c r="B917" s="8" t="inlineStr">
        <is>
          <t>M52</t>
        </is>
      </c>
      <c r="C917" s="12" t="inlineStr">
        <is>
          <t>Noruega</t>
        </is>
      </c>
      <c r="D917" s="12" t="inlineStr">
        <is>
          <t>Irán</t>
        </is>
      </c>
      <c r="E917" s="8" t="n"/>
      <c r="F917" s="8" t="n"/>
      <c r="G917" s="8">
        <f>IF(OR(ISBLANK(E917),ISBLANK(F917)),"",IF(E917&gt;F917,"Local",IF(E917=F917,"Empate","Visitante")))</f>
        <v/>
      </c>
      <c r="H917" s="8">
        <f>IF(VLOOKUP(B917,PARTIDOS!$A:$I,9,FALSE)="Cerrado",IF(G917=VLOOKUP(B917,PARTIDOS!$A:$I,8,FALSE),IF(AND(E917=VLOOKUP(B917,PARTIDOS!$A:$I,6,FALSE),F917=VLOOKUP(B917,PARTIDOS!$A:$I,7,FALSE)),3,1),0),"")</f>
        <v/>
      </c>
    </row>
    <row r="918" ht="20.1" customHeight="1">
      <c r="A918" s="12" t="inlineStr">
        <is>
          <t>Jugador 13</t>
        </is>
      </c>
      <c r="B918" s="8" t="inlineStr">
        <is>
          <t>M53</t>
        </is>
      </c>
      <c r="C918" s="12" t="inlineStr">
        <is>
          <t>República Checa</t>
        </is>
      </c>
      <c r="D918" s="12" t="inlineStr">
        <is>
          <t>Irán</t>
        </is>
      </c>
      <c r="E918" s="8" t="n"/>
      <c r="F918" s="8" t="n"/>
      <c r="G918" s="8">
        <f>IF(OR(ISBLANK(E918),ISBLANK(F918)),"",IF(E918&gt;F918,"Local",IF(E918=F918,"Empate","Visitante")))</f>
        <v/>
      </c>
      <c r="H918" s="8">
        <f>IF(VLOOKUP(B918,PARTIDOS!$A:$I,9,FALSE)="Cerrado",IF(G918=VLOOKUP(B918,PARTIDOS!$A:$I,8,FALSE),IF(AND(E918=VLOOKUP(B918,PARTIDOS!$A:$I,6,FALSE),F918=VLOOKUP(B918,PARTIDOS!$A:$I,7,FALSE)),3,1),0),"")</f>
        <v/>
      </c>
    </row>
    <row r="919" ht="20.1" customHeight="1">
      <c r="A919" s="12" t="inlineStr">
        <is>
          <t>Jugador 13</t>
        </is>
      </c>
      <c r="B919" s="8" t="inlineStr">
        <is>
          <t>M54</t>
        </is>
      </c>
      <c r="C919" s="12" t="inlineStr">
        <is>
          <t>Noruega</t>
        </is>
      </c>
      <c r="D919" s="12" t="inlineStr">
        <is>
          <t>Japón</t>
        </is>
      </c>
      <c r="E919" s="8" t="n"/>
      <c r="F919" s="8" t="n"/>
      <c r="G919" s="8">
        <f>IF(OR(ISBLANK(E919),ISBLANK(F919)),"",IF(E919&gt;F919,"Local",IF(E919=F919,"Empate","Visitante")))</f>
        <v/>
      </c>
      <c r="H919" s="8">
        <f>IF(VLOOKUP(B919,PARTIDOS!$A:$I,9,FALSE)="Cerrado",IF(G919=VLOOKUP(B919,PARTIDOS!$A:$I,8,FALSE),IF(AND(E919=VLOOKUP(B919,PARTIDOS!$A:$I,6,FALSE),F919=VLOOKUP(B919,PARTIDOS!$A:$I,7,FALSE)),3,1),0),"")</f>
        <v/>
      </c>
    </row>
    <row r="920" ht="20.1" customHeight="1">
      <c r="A920" s="12" t="inlineStr">
        <is>
          <t>Jugador 13</t>
        </is>
      </c>
      <c r="B920" s="8" t="inlineStr">
        <is>
          <t>M55</t>
        </is>
      </c>
      <c r="C920" s="12" t="inlineStr">
        <is>
          <t>Corea del Sur</t>
        </is>
      </c>
      <c r="D920" s="12" t="inlineStr">
        <is>
          <t>Australia</t>
        </is>
      </c>
      <c r="E920" s="8" t="n"/>
      <c r="F920" s="8" t="n"/>
      <c r="G920" s="8">
        <f>IF(OR(ISBLANK(E920),ISBLANK(F920)),"",IF(E920&gt;F920,"Local",IF(E920=F920,"Empate","Visitante")))</f>
        <v/>
      </c>
      <c r="H920" s="8">
        <f>IF(VLOOKUP(B920,PARTIDOS!$A:$I,9,FALSE)="Cerrado",IF(G920=VLOOKUP(B920,PARTIDOS!$A:$I,8,FALSE),IF(AND(E920=VLOOKUP(B920,PARTIDOS!$A:$I,6,FALSE),F920=VLOOKUP(B920,PARTIDOS!$A:$I,7,FALSE)),3,1),0),"")</f>
        <v/>
      </c>
    </row>
    <row r="921" ht="20.1" customHeight="1">
      <c r="A921" s="12" t="inlineStr">
        <is>
          <t>Jugador 13</t>
        </is>
      </c>
      <c r="B921" s="8" t="inlineStr">
        <is>
          <t>M56</t>
        </is>
      </c>
      <c r="C921" s="12" t="inlineStr">
        <is>
          <t>Marruecos</t>
        </is>
      </c>
      <c r="D921" s="12" t="inlineStr">
        <is>
          <t>Senegal</t>
        </is>
      </c>
      <c r="E921" s="8" t="n"/>
      <c r="F921" s="8" t="n"/>
      <c r="G921" s="8">
        <f>IF(OR(ISBLANK(E921),ISBLANK(F921)),"",IF(E921&gt;F921,"Local",IF(E921=F921,"Empate","Visitante")))</f>
        <v/>
      </c>
      <c r="H921" s="8">
        <f>IF(VLOOKUP(B921,PARTIDOS!$A:$I,9,FALSE)="Cerrado",IF(G921=VLOOKUP(B921,PARTIDOS!$A:$I,8,FALSE),IF(AND(E921=VLOOKUP(B921,PARTIDOS!$A:$I,6,FALSE),F921=VLOOKUP(B921,PARTIDOS!$A:$I,7,FALSE)),3,1),0),"")</f>
        <v/>
      </c>
    </row>
    <row r="922" ht="20.1" customHeight="1">
      <c r="A922" s="12" t="inlineStr">
        <is>
          <t>Jugador 13</t>
        </is>
      </c>
      <c r="B922" s="8" t="inlineStr">
        <is>
          <t>M57</t>
        </is>
      </c>
      <c r="C922" s="12" t="inlineStr">
        <is>
          <t>Corea del Sur</t>
        </is>
      </c>
      <c r="D922" s="12" t="inlineStr">
        <is>
          <t>Marruecos</t>
        </is>
      </c>
      <c r="E922" s="8" t="n"/>
      <c r="F922" s="8" t="n"/>
      <c r="G922" s="8">
        <f>IF(OR(ISBLANK(E922),ISBLANK(F922)),"",IF(E922&gt;F922,"Local",IF(E922=F922,"Empate","Visitante")))</f>
        <v/>
      </c>
      <c r="H922" s="8">
        <f>IF(VLOOKUP(B922,PARTIDOS!$A:$I,9,FALSE)="Cerrado",IF(G922=VLOOKUP(B922,PARTIDOS!$A:$I,8,FALSE),IF(AND(E922=VLOOKUP(B922,PARTIDOS!$A:$I,6,FALSE),F922=VLOOKUP(B922,PARTIDOS!$A:$I,7,FALSE)),3,1),0),"")</f>
        <v/>
      </c>
    </row>
    <row r="923" ht="20.1" customHeight="1">
      <c r="A923" s="12" t="inlineStr">
        <is>
          <t>Jugador 13</t>
        </is>
      </c>
      <c r="B923" s="8" t="inlineStr">
        <is>
          <t>M58</t>
        </is>
      </c>
      <c r="C923" s="12" t="inlineStr">
        <is>
          <t>Australia</t>
        </is>
      </c>
      <c r="D923" s="12" t="inlineStr">
        <is>
          <t>Senegal</t>
        </is>
      </c>
      <c r="E923" s="8" t="n"/>
      <c r="F923" s="8" t="n"/>
      <c r="G923" s="8">
        <f>IF(OR(ISBLANK(E923),ISBLANK(F923)),"",IF(E923&gt;F923,"Local",IF(E923=F923,"Empate","Visitante")))</f>
        <v/>
      </c>
      <c r="H923" s="8">
        <f>IF(VLOOKUP(B923,PARTIDOS!$A:$I,9,FALSE)="Cerrado",IF(G923=VLOOKUP(B923,PARTIDOS!$A:$I,8,FALSE),IF(AND(E923=VLOOKUP(B923,PARTIDOS!$A:$I,6,FALSE),F923=VLOOKUP(B923,PARTIDOS!$A:$I,7,FALSE)),3,1),0),"")</f>
        <v/>
      </c>
    </row>
    <row r="924" ht="20.1" customHeight="1">
      <c r="A924" s="12" t="inlineStr">
        <is>
          <t>Jugador 13</t>
        </is>
      </c>
      <c r="B924" s="8" t="inlineStr">
        <is>
          <t>M59</t>
        </is>
      </c>
      <c r="C924" s="12" t="inlineStr">
        <is>
          <t>Corea del Sur</t>
        </is>
      </c>
      <c r="D924" s="12" t="inlineStr">
        <is>
          <t>Senegal</t>
        </is>
      </c>
      <c r="E924" s="8" t="n"/>
      <c r="F924" s="8" t="n"/>
      <c r="G924" s="8">
        <f>IF(OR(ISBLANK(E924),ISBLANK(F924)),"",IF(E924&gt;F924,"Local",IF(E924=F924,"Empate","Visitante")))</f>
        <v/>
      </c>
      <c r="H924" s="8">
        <f>IF(VLOOKUP(B924,PARTIDOS!$A:$I,9,FALSE)="Cerrado",IF(G924=VLOOKUP(B924,PARTIDOS!$A:$I,8,FALSE),IF(AND(E924=VLOOKUP(B924,PARTIDOS!$A:$I,6,FALSE),F924=VLOOKUP(B924,PARTIDOS!$A:$I,7,FALSE)),3,1),0),"")</f>
        <v/>
      </c>
    </row>
    <row r="925" ht="20.1" customHeight="1">
      <c r="A925" s="12" t="inlineStr">
        <is>
          <t>Jugador 13</t>
        </is>
      </c>
      <c r="B925" s="8" t="inlineStr">
        <is>
          <t>M60</t>
        </is>
      </c>
      <c r="C925" s="12" t="inlineStr">
        <is>
          <t>Australia</t>
        </is>
      </c>
      <c r="D925" s="12" t="inlineStr">
        <is>
          <t>Marruecos</t>
        </is>
      </c>
      <c r="E925" s="8" t="n"/>
      <c r="F925" s="8" t="n"/>
      <c r="G925" s="8">
        <f>IF(OR(ISBLANK(E925),ISBLANK(F925)),"",IF(E925&gt;F925,"Local",IF(E925=F925,"Empate","Visitante")))</f>
        <v/>
      </c>
      <c r="H925" s="8">
        <f>IF(VLOOKUP(B925,PARTIDOS!$A:$I,9,FALSE)="Cerrado",IF(G925=VLOOKUP(B925,PARTIDOS!$A:$I,8,FALSE),IF(AND(E925=VLOOKUP(B925,PARTIDOS!$A:$I,6,FALSE),F925=VLOOKUP(B925,PARTIDOS!$A:$I,7,FALSE)),3,1),0),"")</f>
        <v/>
      </c>
    </row>
    <row r="926" ht="20.1" customHeight="1">
      <c r="A926" s="12" t="inlineStr">
        <is>
          <t>Jugador 13</t>
        </is>
      </c>
      <c r="B926" s="8" t="inlineStr">
        <is>
          <t>M61</t>
        </is>
      </c>
      <c r="C926" s="12" t="inlineStr">
        <is>
          <t>Túnez</t>
        </is>
      </c>
      <c r="D926" s="12" t="inlineStr">
        <is>
          <t>Nigeria</t>
        </is>
      </c>
      <c r="E926" s="8" t="n"/>
      <c r="F926" s="8" t="n"/>
      <c r="G926" s="8">
        <f>IF(OR(ISBLANK(E926),ISBLANK(F926)),"",IF(E926&gt;F926,"Local",IF(E926=F926,"Empate","Visitante")))</f>
        <v/>
      </c>
      <c r="H926" s="8">
        <f>IF(VLOOKUP(B926,PARTIDOS!$A:$I,9,FALSE)="Cerrado",IF(G926=VLOOKUP(B926,PARTIDOS!$A:$I,8,FALSE),IF(AND(E926=VLOOKUP(B926,PARTIDOS!$A:$I,6,FALSE),F926=VLOOKUP(B926,PARTIDOS!$A:$I,7,FALSE)),3,1),0),"")</f>
        <v/>
      </c>
    </row>
    <row r="927" ht="20.1" customHeight="1">
      <c r="A927" s="12" t="inlineStr">
        <is>
          <t>Jugador 13</t>
        </is>
      </c>
      <c r="B927" s="8" t="inlineStr">
        <is>
          <t>M62</t>
        </is>
      </c>
      <c r="C927" s="12" t="inlineStr">
        <is>
          <t>Camerún</t>
        </is>
      </c>
      <c r="D927" s="12" t="inlineStr">
        <is>
          <t>Egipto</t>
        </is>
      </c>
      <c r="E927" s="8" t="n"/>
      <c r="F927" s="8" t="n"/>
      <c r="G927" s="8">
        <f>IF(OR(ISBLANK(E927),ISBLANK(F927)),"",IF(E927&gt;F927,"Local",IF(E927=F927,"Empate","Visitante")))</f>
        <v/>
      </c>
      <c r="H927" s="8">
        <f>IF(VLOOKUP(B927,PARTIDOS!$A:$I,9,FALSE)="Cerrado",IF(G927=VLOOKUP(B927,PARTIDOS!$A:$I,8,FALSE),IF(AND(E927=VLOOKUP(B927,PARTIDOS!$A:$I,6,FALSE),F927=VLOOKUP(B927,PARTIDOS!$A:$I,7,FALSE)),3,1),0),"")</f>
        <v/>
      </c>
    </row>
    <row r="928" ht="20.1" customHeight="1">
      <c r="A928" s="12" t="inlineStr">
        <is>
          <t>Jugador 13</t>
        </is>
      </c>
      <c r="B928" s="8" t="inlineStr">
        <is>
          <t>M63</t>
        </is>
      </c>
      <c r="C928" s="12" t="inlineStr">
        <is>
          <t>Túnez</t>
        </is>
      </c>
      <c r="D928" s="12" t="inlineStr">
        <is>
          <t>Camerún</t>
        </is>
      </c>
      <c r="E928" s="8" t="n"/>
      <c r="F928" s="8" t="n"/>
      <c r="G928" s="8">
        <f>IF(OR(ISBLANK(E928),ISBLANK(F928)),"",IF(E928&gt;F928,"Local",IF(E928=F928,"Empate","Visitante")))</f>
        <v/>
      </c>
      <c r="H928" s="8">
        <f>IF(VLOOKUP(B928,PARTIDOS!$A:$I,9,FALSE)="Cerrado",IF(G928=VLOOKUP(B928,PARTIDOS!$A:$I,8,FALSE),IF(AND(E928=VLOOKUP(B928,PARTIDOS!$A:$I,6,FALSE),F928=VLOOKUP(B928,PARTIDOS!$A:$I,7,FALSE)),3,1),0),"")</f>
        <v/>
      </c>
    </row>
    <row r="929" ht="20.1" customHeight="1">
      <c r="A929" s="12" t="inlineStr">
        <is>
          <t>Jugador 13</t>
        </is>
      </c>
      <c r="B929" s="8" t="inlineStr">
        <is>
          <t>M64</t>
        </is>
      </c>
      <c r="C929" s="12" t="inlineStr">
        <is>
          <t>Nigeria</t>
        </is>
      </c>
      <c r="D929" s="12" t="inlineStr">
        <is>
          <t>Egipto</t>
        </is>
      </c>
      <c r="E929" s="8" t="n"/>
      <c r="F929" s="8" t="n"/>
      <c r="G929" s="8">
        <f>IF(OR(ISBLANK(E929),ISBLANK(F929)),"",IF(E929&gt;F929,"Local",IF(E929=F929,"Empate","Visitante")))</f>
        <v/>
      </c>
      <c r="H929" s="8">
        <f>IF(VLOOKUP(B929,PARTIDOS!$A:$I,9,FALSE)="Cerrado",IF(G929=VLOOKUP(B929,PARTIDOS!$A:$I,8,FALSE),IF(AND(E929=VLOOKUP(B929,PARTIDOS!$A:$I,6,FALSE),F929=VLOOKUP(B929,PARTIDOS!$A:$I,7,FALSE)),3,1),0),"")</f>
        <v/>
      </c>
    </row>
    <row r="930" ht="20.1" customHeight="1">
      <c r="A930" s="12" t="inlineStr">
        <is>
          <t>Jugador 13</t>
        </is>
      </c>
      <c r="B930" s="8" t="inlineStr">
        <is>
          <t>M65</t>
        </is>
      </c>
      <c r="C930" s="12" t="inlineStr">
        <is>
          <t>Túnez</t>
        </is>
      </c>
      <c r="D930" s="12" t="inlineStr">
        <is>
          <t>Egipto</t>
        </is>
      </c>
      <c r="E930" s="8" t="n"/>
      <c r="F930" s="8" t="n"/>
      <c r="G930" s="8">
        <f>IF(OR(ISBLANK(E930),ISBLANK(F930)),"",IF(E930&gt;F930,"Local",IF(E930=F930,"Empate","Visitante")))</f>
        <v/>
      </c>
      <c r="H930" s="8">
        <f>IF(VLOOKUP(B930,PARTIDOS!$A:$I,9,FALSE)="Cerrado",IF(G930=VLOOKUP(B930,PARTIDOS!$A:$I,8,FALSE),IF(AND(E930=VLOOKUP(B930,PARTIDOS!$A:$I,6,FALSE),F930=VLOOKUP(B930,PARTIDOS!$A:$I,7,FALSE)),3,1),0),"")</f>
        <v/>
      </c>
    </row>
    <row r="931" ht="20.1" customHeight="1">
      <c r="A931" s="12" t="inlineStr">
        <is>
          <t>Jugador 13</t>
        </is>
      </c>
      <c r="B931" s="8" t="inlineStr">
        <is>
          <t>M66</t>
        </is>
      </c>
      <c r="C931" s="12" t="inlineStr">
        <is>
          <t>Nigeria</t>
        </is>
      </c>
      <c r="D931" s="12" t="inlineStr">
        <is>
          <t>Camerún</t>
        </is>
      </c>
      <c r="E931" s="8" t="n"/>
      <c r="F931" s="8" t="n"/>
      <c r="G931" s="8">
        <f>IF(OR(ISBLANK(E931),ISBLANK(F931)),"",IF(E931&gt;F931,"Local",IF(E931=F931,"Empate","Visitante")))</f>
        <v/>
      </c>
      <c r="H931" s="8">
        <f>IF(VLOOKUP(B931,PARTIDOS!$A:$I,9,FALSE)="Cerrado",IF(G931=VLOOKUP(B931,PARTIDOS!$A:$I,8,FALSE),IF(AND(E931=VLOOKUP(B931,PARTIDOS!$A:$I,6,FALSE),F931=VLOOKUP(B931,PARTIDOS!$A:$I,7,FALSE)),3,1),0),"")</f>
        <v/>
      </c>
    </row>
    <row r="932" ht="20.1" customHeight="1">
      <c r="A932" s="12" t="inlineStr">
        <is>
          <t>Jugador 13</t>
        </is>
      </c>
      <c r="B932" s="8" t="inlineStr">
        <is>
          <t>M67</t>
        </is>
      </c>
      <c r="C932" s="12" t="inlineStr">
        <is>
          <t>Costa de Marfil</t>
        </is>
      </c>
      <c r="D932" s="12" t="inlineStr">
        <is>
          <t>Sudáfrica</t>
        </is>
      </c>
      <c r="E932" s="8" t="n"/>
      <c r="F932" s="8" t="n"/>
      <c r="G932" s="8">
        <f>IF(OR(ISBLANK(E932),ISBLANK(F932)),"",IF(E932&gt;F932,"Local",IF(E932=F932,"Empate","Visitante")))</f>
        <v/>
      </c>
      <c r="H932" s="8">
        <f>IF(VLOOKUP(B932,PARTIDOS!$A:$I,9,FALSE)="Cerrado",IF(G932=VLOOKUP(B932,PARTIDOS!$A:$I,8,FALSE),IF(AND(E932=VLOOKUP(B932,PARTIDOS!$A:$I,6,FALSE),F932=VLOOKUP(B932,PARTIDOS!$A:$I,7,FALSE)),3,1),0),"")</f>
        <v/>
      </c>
    </row>
    <row r="933" ht="20.1" customHeight="1">
      <c r="A933" s="12" t="inlineStr">
        <is>
          <t>Jugador 13</t>
        </is>
      </c>
      <c r="B933" s="8" t="inlineStr">
        <is>
          <t>M68</t>
        </is>
      </c>
      <c r="C933" s="12" t="inlineStr">
        <is>
          <t>Panáma</t>
        </is>
      </c>
      <c r="D933" s="12" t="inlineStr">
        <is>
          <t>Nueva Zelanda</t>
        </is>
      </c>
      <c r="E933" s="8" t="n"/>
      <c r="F933" s="8" t="n"/>
      <c r="G933" s="8">
        <f>IF(OR(ISBLANK(E933),ISBLANK(F933)),"",IF(E933&gt;F933,"Local",IF(E933=F933,"Empate","Visitante")))</f>
        <v/>
      </c>
      <c r="H933" s="8">
        <f>IF(VLOOKUP(B933,PARTIDOS!$A:$I,9,FALSE)="Cerrado",IF(G933=VLOOKUP(B933,PARTIDOS!$A:$I,8,FALSE),IF(AND(E933=VLOOKUP(B933,PARTIDOS!$A:$I,6,FALSE),F933=VLOOKUP(B933,PARTIDOS!$A:$I,7,FALSE)),3,1),0),"")</f>
        <v/>
      </c>
    </row>
    <row r="934" ht="20.1" customHeight="1">
      <c r="A934" s="12" t="inlineStr">
        <is>
          <t>Jugador 13</t>
        </is>
      </c>
      <c r="B934" s="8" t="inlineStr">
        <is>
          <t>M69</t>
        </is>
      </c>
      <c r="C934" s="12" t="inlineStr">
        <is>
          <t>Costa de Marfil</t>
        </is>
      </c>
      <c r="D934" s="12" t="inlineStr">
        <is>
          <t>Panáma</t>
        </is>
      </c>
      <c r="E934" s="8" t="n"/>
      <c r="F934" s="8" t="n"/>
      <c r="G934" s="8">
        <f>IF(OR(ISBLANK(E934),ISBLANK(F934)),"",IF(E934&gt;F934,"Local",IF(E934=F934,"Empate","Visitante")))</f>
        <v/>
      </c>
      <c r="H934" s="8">
        <f>IF(VLOOKUP(B934,PARTIDOS!$A:$I,9,FALSE)="Cerrado",IF(G934=VLOOKUP(B934,PARTIDOS!$A:$I,8,FALSE),IF(AND(E934=VLOOKUP(B934,PARTIDOS!$A:$I,6,FALSE),F934=VLOOKUP(B934,PARTIDOS!$A:$I,7,FALSE)),3,1),0),"")</f>
        <v/>
      </c>
    </row>
    <row r="935" ht="20.1" customHeight="1">
      <c r="A935" s="12" t="inlineStr">
        <is>
          <t>Jugador 13</t>
        </is>
      </c>
      <c r="B935" s="8" t="inlineStr">
        <is>
          <t>M70</t>
        </is>
      </c>
      <c r="C935" s="12" t="inlineStr">
        <is>
          <t>Sudáfrica</t>
        </is>
      </c>
      <c r="D935" s="12" t="inlineStr">
        <is>
          <t>Nueva Zelanda</t>
        </is>
      </c>
      <c r="E935" s="8" t="n"/>
      <c r="F935" s="8" t="n"/>
      <c r="G935" s="8">
        <f>IF(OR(ISBLANK(E935),ISBLANK(F935)),"",IF(E935&gt;F935,"Local",IF(E935=F935,"Empate","Visitante")))</f>
        <v/>
      </c>
      <c r="H935" s="8">
        <f>IF(VLOOKUP(B935,PARTIDOS!$A:$I,9,FALSE)="Cerrado",IF(G935=VLOOKUP(B935,PARTIDOS!$A:$I,8,FALSE),IF(AND(E935=VLOOKUP(B935,PARTIDOS!$A:$I,6,FALSE),F935=VLOOKUP(B935,PARTIDOS!$A:$I,7,FALSE)),3,1),0),"")</f>
        <v/>
      </c>
    </row>
    <row r="936" ht="20.1" customHeight="1">
      <c r="A936" s="12" t="inlineStr">
        <is>
          <t>Jugador 13</t>
        </is>
      </c>
      <c r="B936" s="8" t="inlineStr">
        <is>
          <t>M71</t>
        </is>
      </c>
      <c r="C936" s="12" t="inlineStr">
        <is>
          <t>Costa de Marfil</t>
        </is>
      </c>
      <c r="D936" s="12" t="inlineStr">
        <is>
          <t>Nueva Zelanda</t>
        </is>
      </c>
      <c r="E936" s="8" t="n"/>
      <c r="F936" s="8" t="n"/>
      <c r="G936" s="8">
        <f>IF(OR(ISBLANK(E936),ISBLANK(F936)),"",IF(E936&gt;F936,"Local",IF(E936=F936,"Empate","Visitante")))</f>
        <v/>
      </c>
      <c r="H936" s="8">
        <f>IF(VLOOKUP(B936,PARTIDOS!$A:$I,9,FALSE)="Cerrado",IF(G936=VLOOKUP(B936,PARTIDOS!$A:$I,8,FALSE),IF(AND(E936=VLOOKUP(B936,PARTIDOS!$A:$I,6,FALSE),F936=VLOOKUP(B936,PARTIDOS!$A:$I,7,FALSE)),3,1),0),"")</f>
        <v/>
      </c>
    </row>
    <row r="937" ht="20.1" customHeight="1">
      <c r="A937" s="12" t="inlineStr">
        <is>
          <t>Jugador 13</t>
        </is>
      </c>
      <c r="B937" s="8" t="inlineStr">
        <is>
          <t>M72</t>
        </is>
      </c>
      <c r="C937" s="12" t="inlineStr">
        <is>
          <t>Sudáfrica</t>
        </is>
      </c>
      <c r="D937" s="12" t="inlineStr">
        <is>
          <t>Panáma</t>
        </is>
      </c>
      <c r="E937" s="8" t="n"/>
      <c r="F937" s="8" t="n"/>
      <c r="G937" s="8">
        <f>IF(OR(ISBLANK(E937),ISBLANK(F937)),"",IF(E937&gt;F937,"Local",IF(E937=F937,"Empate","Visitante")))</f>
        <v/>
      </c>
      <c r="H937" s="8">
        <f>IF(VLOOKUP(B937,PARTIDOS!$A:$I,9,FALSE)="Cerrado",IF(G937=VLOOKUP(B937,PARTIDOS!$A:$I,8,FALSE),IF(AND(E937=VLOOKUP(B937,PARTIDOS!$A:$I,6,FALSE),F937=VLOOKUP(B937,PARTIDOS!$A:$I,7,FALSE)),3,1),0),"")</f>
        <v/>
      </c>
    </row>
    <row r="938" ht="20.1" customHeight="1">
      <c r="A938" s="12" t="inlineStr">
        <is>
          <t>Jugador 14</t>
        </is>
      </c>
      <c r="B938" s="8" t="inlineStr">
        <is>
          <t>M01</t>
        </is>
      </c>
      <c r="C938" s="12" t="inlineStr">
        <is>
          <t>México</t>
        </is>
      </c>
      <c r="D938" s="12" t="inlineStr">
        <is>
          <t>EEUU</t>
        </is>
      </c>
      <c r="E938" s="8" t="n"/>
      <c r="F938" s="8" t="n"/>
      <c r="G938" s="8">
        <f>IF(OR(ISBLANK(E938),ISBLANK(F938)),"",IF(E938&gt;F938,"Local",IF(E938=F938,"Empate","Visitante")))</f>
        <v/>
      </c>
      <c r="H938" s="8">
        <f>IF(VLOOKUP(B938,PARTIDOS!$A:$I,9,FALSE)="Cerrado",IF(G938=VLOOKUP(B938,PARTIDOS!$A:$I,8,FALSE),IF(AND(E938=VLOOKUP(B938,PARTIDOS!$A:$I,6,FALSE),F938=VLOOKUP(B938,PARTIDOS!$A:$I,7,FALSE)),3,1),0),"")</f>
        <v/>
      </c>
    </row>
    <row r="939" ht="20.1" customHeight="1">
      <c r="A939" s="12" t="inlineStr">
        <is>
          <t>Jugador 14</t>
        </is>
      </c>
      <c r="B939" s="8" t="inlineStr">
        <is>
          <t>M02</t>
        </is>
      </c>
      <c r="C939" s="12" t="inlineStr">
        <is>
          <t>Canadá</t>
        </is>
      </c>
      <c r="D939" s="12" t="inlineStr">
        <is>
          <t>Jamaica</t>
        </is>
      </c>
      <c r="E939" s="8" t="n"/>
      <c r="F939" s="8" t="n"/>
      <c r="G939" s="8">
        <f>IF(OR(ISBLANK(E939),ISBLANK(F939)),"",IF(E939&gt;F939,"Local",IF(E939=F939,"Empate","Visitante")))</f>
        <v/>
      </c>
      <c r="H939" s="8">
        <f>IF(VLOOKUP(B939,PARTIDOS!$A:$I,9,FALSE)="Cerrado",IF(G939=VLOOKUP(B939,PARTIDOS!$A:$I,8,FALSE),IF(AND(E939=VLOOKUP(B939,PARTIDOS!$A:$I,6,FALSE),F939=VLOOKUP(B939,PARTIDOS!$A:$I,7,FALSE)),3,1),0),"")</f>
        <v/>
      </c>
    </row>
    <row r="940" ht="20.1" customHeight="1">
      <c r="A940" s="12" t="inlineStr">
        <is>
          <t>Jugador 14</t>
        </is>
      </c>
      <c r="B940" s="8" t="inlineStr">
        <is>
          <t>M03</t>
        </is>
      </c>
      <c r="C940" s="12" t="inlineStr">
        <is>
          <t>México</t>
        </is>
      </c>
      <c r="D940" s="12" t="inlineStr">
        <is>
          <t>Canadá</t>
        </is>
      </c>
      <c r="E940" s="8" t="n"/>
      <c r="F940" s="8" t="n"/>
      <c r="G940" s="8">
        <f>IF(OR(ISBLANK(E940),ISBLANK(F940)),"",IF(E940&gt;F940,"Local",IF(E940=F940,"Empate","Visitante")))</f>
        <v/>
      </c>
      <c r="H940" s="8">
        <f>IF(VLOOKUP(B940,PARTIDOS!$A:$I,9,FALSE)="Cerrado",IF(G940=VLOOKUP(B940,PARTIDOS!$A:$I,8,FALSE),IF(AND(E940=VLOOKUP(B940,PARTIDOS!$A:$I,6,FALSE),F940=VLOOKUP(B940,PARTIDOS!$A:$I,7,FALSE)),3,1),0),"")</f>
        <v/>
      </c>
    </row>
    <row r="941" ht="20.1" customHeight="1">
      <c r="A941" s="12" t="inlineStr">
        <is>
          <t>Jugador 14</t>
        </is>
      </c>
      <c r="B941" s="8" t="inlineStr">
        <is>
          <t>M04</t>
        </is>
      </c>
      <c r="C941" s="12" t="inlineStr">
        <is>
          <t>EEUU</t>
        </is>
      </c>
      <c r="D941" s="12" t="inlineStr">
        <is>
          <t>Jamaica</t>
        </is>
      </c>
      <c r="E941" s="8" t="n"/>
      <c r="F941" s="8" t="n"/>
      <c r="G941" s="8">
        <f>IF(OR(ISBLANK(E941),ISBLANK(F941)),"",IF(E941&gt;F941,"Local",IF(E941=F941,"Empate","Visitante")))</f>
        <v/>
      </c>
      <c r="H941" s="8">
        <f>IF(VLOOKUP(B941,PARTIDOS!$A:$I,9,FALSE)="Cerrado",IF(G941=VLOOKUP(B941,PARTIDOS!$A:$I,8,FALSE),IF(AND(E941=VLOOKUP(B941,PARTIDOS!$A:$I,6,FALSE),F941=VLOOKUP(B941,PARTIDOS!$A:$I,7,FALSE)),3,1),0),"")</f>
        <v/>
      </c>
    </row>
    <row r="942" ht="20.1" customHeight="1">
      <c r="A942" s="12" t="inlineStr">
        <is>
          <t>Jugador 14</t>
        </is>
      </c>
      <c r="B942" s="8" t="inlineStr">
        <is>
          <t>M05</t>
        </is>
      </c>
      <c r="C942" s="12" t="inlineStr">
        <is>
          <t>México</t>
        </is>
      </c>
      <c r="D942" s="12" t="inlineStr">
        <is>
          <t>Jamaica</t>
        </is>
      </c>
      <c r="E942" s="8" t="n"/>
      <c r="F942" s="8" t="n"/>
      <c r="G942" s="8">
        <f>IF(OR(ISBLANK(E942),ISBLANK(F942)),"",IF(E942&gt;F942,"Local",IF(E942=F942,"Empate","Visitante")))</f>
        <v/>
      </c>
      <c r="H942" s="8">
        <f>IF(VLOOKUP(B942,PARTIDOS!$A:$I,9,FALSE)="Cerrado",IF(G942=VLOOKUP(B942,PARTIDOS!$A:$I,8,FALSE),IF(AND(E942=VLOOKUP(B942,PARTIDOS!$A:$I,6,FALSE),F942=VLOOKUP(B942,PARTIDOS!$A:$I,7,FALSE)),3,1),0),"")</f>
        <v/>
      </c>
    </row>
    <row r="943" ht="20.1" customHeight="1">
      <c r="A943" s="12" t="inlineStr">
        <is>
          <t>Jugador 14</t>
        </is>
      </c>
      <c r="B943" s="8" t="inlineStr">
        <is>
          <t>M06</t>
        </is>
      </c>
      <c r="C943" s="12" t="inlineStr">
        <is>
          <t>EEUU</t>
        </is>
      </c>
      <c r="D943" s="12" t="inlineStr">
        <is>
          <t>Canadá</t>
        </is>
      </c>
      <c r="E943" s="8" t="n"/>
      <c r="F943" s="8" t="n"/>
      <c r="G943" s="8">
        <f>IF(OR(ISBLANK(E943),ISBLANK(F943)),"",IF(E943&gt;F943,"Local",IF(E943=F943,"Empate","Visitante")))</f>
        <v/>
      </c>
      <c r="H943" s="8">
        <f>IF(VLOOKUP(B943,PARTIDOS!$A:$I,9,FALSE)="Cerrado",IF(G943=VLOOKUP(B943,PARTIDOS!$A:$I,8,FALSE),IF(AND(E943=VLOOKUP(B943,PARTIDOS!$A:$I,6,FALSE),F943=VLOOKUP(B943,PARTIDOS!$A:$I,7,FALSE)),3,1),0),"")</f>
        <v/>
      </c>
    </row>
    <row r="944" ht="20.1" customHeight="1">
      <c r="A944" s="12" t="inlineStr">
        <is>
          <t>Jugador 14</t>
        </is>
      </c>
      <c r="B944" s="8" t="inlineStr">
        <is>
          <t>M07</t>
        </is>
      </c>
      <c r="C944" s="12" t="inlineStr">
        <is>
          <t>Argentina</t>
        </is>
      </c>
      <c r="D944" s="12" t="inlineStr">
        <is>
          <t>Brasil</t>
        </is>
      </c>
      <c r="E944" s="8" t="n"/>
      <c r="F944" s="8" t="n"/>
      <c r="G944" s="8">
        <f>IF(OR(ISBLANK(E944),ISBLANK(F944)),"",IF(E944&gt;F944,"Local",IF(E944=F944,"Empate","Visitante")))</f>
        <v/>
      </c>
      <c r="H944" s="8">
        <f>IF(VLOOKUP(B944,PARTIDOS!$A:$I,9,FALSE)="Cerrado",IF(G944=VLOOKUP(B944,PARTIDOS!$A:$I,8,FALSE),IF(AND(E944=VLOOKUP(B944,PARTIDOS!$A:$I,6,FALSE),F944=VLOOKUP(B944,PARTIDOS!$A:$I,7,FALSE)),3,1),0),"")</f>
        <v/>
      </c>
    </row>
    <row r="945" ht="20.1" customHeight="1">
      <c r="A945" s="12" t="inlineStr">
        <is>
          <t>Jugador 14</t>
        </is>
      </c>
      <c r="B945" s="8" t="inlineStr">
        <is>
          <t>M08</t>
        </is>
      </c>
      <c r="C945" s="12" t="inlineStr">
        <is>
          <t>Colombia</t>
        </is>
      </c>
      <c r="D945" s="12" t="inlineStr">
        <is>
          <t>Uruguay</t>
        </is>
      </c>
      <c r="E945" s="8" t="n"/>
      <c r="F945" s="8" t="n"/>
      <c r="G945" s="8">
        <f>IF(OR(ISBLANK(E945),ISBLANK(F945)),"",IF(E945&gt;F945,"Local",IF(E945=F945,"Empate","Visitante")))</f>
        <v/>
      </c>
      <c r="H945" s="8">
        <f>IF(VLOOKUP(B945,PARTIDOS!$A:$I,9,FALSE)="Cerrado",IF(G945=VLOOKUP(B945,PARTIDOS!$A:$I,8,FALSE),IF(AND(E945=VLOOKUP(B945,PARTIDOS!$A:$I,6,FALSE),F945=VLOOKUP(B945,PARTIDOS!$A:$I,7,FALSE)),3,1),0),"")</f>
        <v/>
      </c>
    </row>
    <row r="946" ht="20.1" customHeight="1">
      <c r="A946" s="12" t="inlineStr">
        <is>
          <t>Jugador 14</t>
        </is>
      </c>
      <c r="B946" s="8" t="inlineStr">
        <is>
          <t>M09</t>
        </is>
      </c>
      <c r="C946" s="12" t="inlineStr">
        <is>
          <t>Argentina</t>
        </is>
      </c>
      <c r="D946" s="12" t="inlineStr">
        <is>
          <t>Colombia</t>
        </is>
      </c>
      <c r="E946" s="8" t="n"/>
      <c r="F946" s="8" t="n"/>
      <c r="G946" s="8">
        <f>IF(OR(ISBLANK(E946),ISBLANK(F946)),"",IF(E946&gt;F946,"Local",IF(E946=F946,"Empate","Visitante")))</f>
        <v/>
      </c>
      <c r="H946" s="8">
        <f>IF(VLOOKUP(B946,PARTIDOS!$A:$I,9,FALSE)="Cerrado",IF(G946=VLOOKUP(B946,PARTIDOS!$A:$I,8,FALSE),IF(AND(E946=VLOOKUP(B946,PARTIDOS!$A:$I,6,FALSE),F946=VLOOKUP(B946,PARTIDOS!$A:$I,7,FALSE)),3,1),0),"")</f>
        <v/>
      </c>
    </row>
    <row r="947" ht="20.1" customHeight="1">
      <c r="A947" s="12" t="inlineStr">
        <is>
          <t>Jugador 14</t>
        </is>
      </c>
      <c r="B947" s="8" t="inlineStr">
        <is>
          <t>M10</t>
        </is>
      </c>
      <c r="C947" s="12" t="inlineStr">
        <is>
          <t>Brasil</t>
        </is>
      </c>
      <c r="D947" s="12" t="inlineStr">
        <is>
          <t>Uruguay</t>
        </is>
      </c>
      <c r="E947" s="8" t="n"/>
      <c r="F947" s="8" t="n"/>
      <c r="G947" s="8">
        <f>IF(OR(ISBLANK(E947),ISBLANK(F947)),"",IF(E947&gt;F947,"Local",IF(E947=F947,"Empate","Visitante")))</f>
        <v/>
      </c>
      <c r="H947" s="8">
        <f>IF(VLOOKUP(B947,PARTIDOS!$A:$I,9,FALSE)="Cerrado",IF(G947=VLOOKUP(B947,PARTIDOS!$A:$I,8,FALSE),IF(AND(E947=VLOOKUP(B947,PARTIDOS!$A:$I,6,FALSE),F947=VLOOKUP(B947,PARTIDOS!$A:$I,7,FALSE)),3,1),0),"")</f>
        <v/>
      </c>
    </row>
    <row r="948" ht="20.1" customHeight="1">
      <c r="A948" s="12" t="inlineStr">
        <is>
          <t>Jugador 14</t>
        </is>
      </c>
      <c r="B948" s="8" t="inlineStr">
        <is>
          <t>M11</t>
        </is>
      </c>
      <c r="C948" s="12" t="inlineStr">
        <is>
          <t>Argentina</t>
        </is>
      </c>
      <c r="D948" s="12" t="inlineStr">
        <is>
          <t>Uruguay</t>
        </is>
      </c>
      <c r="E948" s="8" t="n"/>
      <c r="F948" s="8" t="n"/>
      <c r="G948" s="8">
        <f>IF(OR(ISBLANK(E948),ISBLANK(F948)),"",IF(E948&gt;F948,"Local",IF(E948=F948,"Empate","Visitante")))</f>
        <v/>
      </c>
      <c r="H948" s="8">
        <f>IF(VLOOKUP(B948,PARTIDOS!$A:$I,9,FALSE)="Cerrado",IF(G948=VLOOKUP(B948,PARTIDOS!$A:$I,8,FALSE),IF(AND(E948=VLOOKUP(B948,PARTIDOS!$A:$I,6,FALSE),F948=VLOOKUP(B948,PARTIDOS!$A:$I,7,FALSE)),3,1),0),"")</f>
        <v/>
      </c>
    </row>
    <row r="949" ht="20.1" customHeight="1">
      <c r="A949" s="12" t="inlineStr">
        <is>
          <t>Jugador 14</t>
        </is>
      </c>
      <c r="B949" s="8" t="inlineStr">
        <is>
          <t>M12</t>
        </is>
      </c>
      <c r="C949" s="12" t="inlineStr">
        <is>
          <t>Brasil</t>
        </is>
      </c>
      <c r="D949" s="12" t="inlineStr">
        <is>
          <t>Colombia</t>
        </is>
      </c>
      <c r="E949" s="8" t="n"/>
      <c r="F949" s="8" t="n"/>
      <c r="G949" s="8">
        <f>IF(OR(ISBLANK(E949),ISBLANK(F949)),"",IF(E949&gt;F949,"Local",IF(E949=F949,"Empate","Visitante")))</f>
        <v/>
      </c>
      <c r="H949" s="8">
        <f>IF(VLOOKUP(B949,PARTIDOS!$A:$I,9,FALSE)="Cerrado",IF(G949=VLOOKUP(B949,PARTIDOS!$A:$I,8,FALSE),IF(AND(E949=VLOOKUP(B949,PARTIDOS!$A:$I,6,FALSE),F949=VLOOKUP(B949,PARTIDOS!$A:$I,7,FALSE)),3,1),0),"")</f>
        <v/>
      </c>
    </row>
    <row r="950" ht="20.1" customHeight="1">
      <c r="A950" s="12" t="inlineStr">
        <is>
          <t>Jugador 14</t>
        </is>
      </c>
      <c r="B950" s="8" t="inlineStr">
        <is>
          <t>M13</t>
        </is>
      </c>
      <c r="C950" s="12" t="inlineStr">
        <is>
          <t>Ecuador</t>
        </is>
      </c>
      <c r="D950" s="12" t="inlineStr">
        <is>
          <t>Perú</t>
        </is>
      </c>
      <c r="E950" s="8" t="n"/>
      <c r="F950" s="8" t="n"/>
      <c r="G950" s="8">
        <f>IF(OR(ISBLANK(E950),ISBLANK(F950)),"",IF(E950&gt;F950,"Local",IF(E950=F950,"Empate","Visitante")))</f>
        <v/>
      </c>
      <c r="H950" s="8">
        <f>IF(VLOOKUP(B950,PARTIDOS!$A:$I,9,FALSE)="Cerrado",IF(G950=VLOOKUP(B950,PARTIDOS!$A:$I,8,FALSE),IF(AND(E950=VLOOKUP(B950,PARTIDOS!$A:$I,6,FALSE),F950=VLOOKUP(B950,PARTIDOS!$A:$I,7,FALSE)),3,1),0),"")</f>
        <v/>
      </c>
    </row>
    <row r="951" ht="20.1" customHeight="1">
      <c r="A951" s="12" t="inlineStr">
        <is>
          <t>Jugador 14</t>
        </is>
      </c>
      <c r="B951" s="8" t="inlineStr">
        <is>
          <t>M14</t>
        </is>
      </c>
      <c r="C951" s="12" t="inlineStr">
        <is>
          <t>Chile</t>
        </is>
      </c>
      <c r="D951" s="12" t="inlineStr">
        <is>
          <t>Paraguay</t>
        </is>
      </c>
      <c r="E951" s="8" t="n"/>
      <c r="F951" s="8" t="n"/>
      <c r="G951" s="8">
        <f>IF(OR(ISBLANK(E951),ISBLANK(F951)),"",IF(E951&gt;F951,"Local",IF(E951=F951,"Empate","Visitante")))</f>
        <v/>
      </c>
      <c r="H951" s="8">
        <f>IF(VLOOKUP(B951,PARTIDOS!$A:$I,9,FALSE)="Cerrado",IF(G951=VLOOKUP(B951,PARTIDOS!$A:$I,8,FALSE),IF(AND(E951=VLOOKUP(B951,PARTIDOS!$A:$I,6,FALSE),F951=VLOOKUP(B951,PARTIDOS!$A:$I,7,FALSE)),3,1),0),"")</f>
        <v/>
      </c>
    </row>
    <row r="952" ht="20.1" customHeight="1">
      <c r="A952" s="12" t="inlineStr">
        <is>
          <t>Jugador 14</t>
        </is>
      </c>
      <c r="B952" s="8" t="inlineStr">
        <is>
          <t>M15</t>
        </is>
      </c>
      <c r="C952" s="12" t="inlineStr">
        <is>
          <t>Ecuador</t>
        </is>
      </c>
      <c r="D952" s="12" t="inlineStr">
        <is>
          <t>Chile</t>
        </is>
      </c>
      <c r="E952" s="8" t="n"/>
      <c r="F952" s="8" t="n"/>
      <c r="G952" s="8">
        <f>IF(OR(ISBLANK(E952),ISBLANK(F952)),"",IF(E952&gt;F952,"Local",IF(E952=F952,"Empate","Visitante")))</f>
        <v/>
      </c>
      <c r="H952" s="8">
        <f>IF(VLOOKUP(B952,PARTIDOS!$A:$I,9,FALSE)="Cerrado",IF(G952=VLOOKUP(B952,PARTIDOS!$A:$I,8,FALSE),IF(AND(E952=VLOOKUP(B952,PARTIDOS!$A:$I,6,FALSE),F952=VLOOKUP(B952,PARTIDOS!$A:$I,7,FALSE)),3,1),0),"")</f>
        <v/>
      </c>
    </row>
    <row r="953" ht="20.1" customHeight="1">
      <c r="A953" s="12" t="inlineStr">
        <is>
          <t>Jugador 14</t>
        </is>
      </c>
      <c r="B953" s="8" t="inlineStr">
        <is>
          <t>M16</t>
        </is>
      </c>
      <c r="C953" s="12" t="inlineStr">
        <is>
          <t>Perú</t>
        </is>
      </c>
      <c r="D953" s="12" t="inlineStr">
        <is>
          <t>Paraguay</t>
        </is>
      </c>
      <c r="E953" s="8" t="n"/>
      <c r="F953" s="8" t="n"/>
      <c r="G953" s="8">
        <f>IF(OR(ISBLANK(E953),ISBLANK(F953)),"",IF(E953&gt;F953,"Local",IF(E953=F953,"Empate","Visitante")))</f>
        <v/>
      </c>
      <c r="H953" s="8">
        <f>IF(VLOOKUP(B953,PARTIDOS!$A:$I,9,FALSE)="Cerrado",IF(G953=VLOOKUP(B953,PARTIDOS!$A:$I,8,FALSE),IF(AND(E953=VLOOKUP(B953,PARTIDOS!$A:$I,6,FALSE),F953=VLOOKUP(B953,PARTIDOS!$A:$I,7,FALSE)),3,1),0),"")</f>
        <v/>
      </c>
    </row>
    <row r="954" ht="20.1" customHeight="1">
      <c r="A954" s="12" t="inlineStr">
        <is>
          <t>Jugador 14</t>
        </is>
      </c>
      <c r="B954" s="8" t="inlineStr">
        <is>
          <t>M17</t>
        </is>
      </c>
      <c r="C954" s="12" t="inlineStr">
        <is>
          <t>Ecuador</t>
        </is>
      </c>
      <c r="D954" s="12" t="inlineStr">
        <is>
          <t>Paraguay</t>
        </is>
      </c>
      <c r="E954" s="8" t="n"/>
      <c r="F954" s="8" t="n"/>
      <c r="G954" s="8">
        <f>IF(OR(ISBLANK(E954),ISBLANK(F954)),"",IF(E954&gt;F954,"Local",IF(E954=F954,"Empate","Visitante")))</f>
        <v/>
      </c>
      <c r="H954" s="8">
        <f>IF(VLOOKUP(B954,PARTIDOS!$A:$I,9,FALSE)="Cerrado",IF(G954=VLOOKUP(B954,PARTIDOS!$A:$I,8,FALSE),IF(AND(E954=VLOOKUP(B954,PARTIDOS!$A:$I,6,FALSE),F954=VLOOKUP(B954,PARTIDOS!$A:$I,7,FALSE)),3,1),0),"")</f>
        <v/>
      </c>
    </row>
    <row r="955" ht="20.1" customHeight="1">
      <c r="A955" s="12" t="inlineStr">
        <is>
          <t>Jugador 14</t>
        </is>
      </c>
      <c r="B955" s="8" t="inlineStr">
        <is>
          <t>M18</t>
        </is>
      </c>
      <c r="C955" s="12" t="inlineStr">
        <is>
          <t>Perú</t>
        </is>
      </c>
      <c r="D955" s="12" t="inlineStr">
        <is>
          <t>Chile</t>
        </is>
      </c>
      <c r="E955" s="8" t="n"/>
      <c r="F955" s="8" t="n"/>
      <c r="G955" s="8">
        <f>IF(OR(ISBLANK(E955),ISBLANK(F955)),"",IF(E955&gt;F955,"Local",IF(E955=F955,"Empate","Visitante")))</f>
        <v/>
      </c>
      <c r="H955" s="8">
        <f>IF(VLOOKUP(B955,PARTIDOS!$A:$I,9,FALSE)="Cerrado",IF(G955=VLOOKUP(B955,PARTIDOS!$A:$I,8,FALSE),IF(AND(E955=VLOOKUP(B955,PARTIDOS!$A:$I,6,FALSE),F955=VLOOKUP(B955,PARTIDOS!$A:$I,7,FALSE)),3,1),0),"")</f>
        <v/>
      </c>
    </row>
    <row r="956" ht="20.1" customHeight="1">
      <c r="A956" s="12" t="inlineStr">
        <is>
          <t>Jugador 14</t>
        </is>
      </c>
      <c r="B956" s="8" t="inlineStr">
        <is>
          <t>M19</t>
        </is>
      </c>
      <c r="C956" s="12" t="inlineStr">
        <is>
          <t>España</t>
        </is>
      </c>
      <c r="D956" s="12" t="inlineStr">
        <is>
          <t>Francia</t>
        </is>
      </c>
      <c r="E956" s="8" t="n"/>
      <c r="F956" s="8" t="n"/>
      <c r="G956" s="8">
        <f>IF(OR(ISBLANK(E956),ISBLANK(F956)),"",IF(E956&gt;F956,"Local",IF(E956=F956,"Empate","Visitante")))</f>
        <v/>
      </c>
      <c r="H956" s="8">
        <f>IF(VLOOKUP(B956,PARTIDOS!$A:$I,9,FALSE)="Cerrado",IF(G956=VLOOKUP(B956,PARTIDOS!$A:$I,8,FALSE),IF(AND(E956=VLOOKUP(B956,PARTIDOS!$A:$I,6,FALSE),F956=VLOOKUP(B956,PARTIDOS!$A:$I,7,FALSE)),3,1),0),"")</f>
        <v/>
      </c>
    </row>
    <row r="957" ht="20.1" customHeight="1">
      <c r="A957" s="12" t="inlineStr">
        <is>
          <t>Jugador 14</t>
        </is>
      </c>
      <c r="B957" s="8" t="inlineStr">
        <is>
          <t>M20</t>
        </is>
      </c>
      <c r="C957" s="12" t="inlineStr">
        <is>
          <t>Inglaterra</t>
        </is>
      </c>
      <c r="D957" s="12" t="inlineStr">
        <is>
          <t>Alemania</t>
        </is>
      </c>
      <c r="E957" s="8" t="n"/>
      <c r="F957" s="8" t="n"/>
      <c r="G957" s="8">
        <f>IF(OR(ISBLANK(E957),ISBLANK(F957)),"",IF(E957&gt;F957,"Local",IF(E957=F957,"Empate","Visitante")))</f>
        <v/>
      </c>
      <c r="H957" s="8">
        <f>IF(VLOOKUP(B957,PARTIDOS!$A:$I,9,FALSE)="Cerrado",IF(G957=VLOOKUP(B957,PARTIDOS!$A:$I,8,FALSE),IF(AND(E957=VLOOKUP(B957,PARTIDOS!$A:$I,6,FALSE),F957=VLOOKUP(B957,PARTIDOS!$A:$I,7,FALSE)),3,1),0),"")</f>
        <v/>
      </c>
    </row>
    <row r="958" ht="20.1" customHeight="1">
      <c r="A958" s="12" t="inlineStr">
        <is>
          <t>Jugador 14</t>
        </is>
      </c>
      <c r="B958" s="8" t="inlineStr">
        <is>
          <t>M21</t>
        </is>
      </c>
      <c r="C958" s="12" t="inlineStr">
        <is>
          <t>España</t>
        </is>
      </c>
      <c r="D958" s="12" t="inlineStr">
        <is>
          <t>Inglaterra</t>
        </is>
      </c>
      <c r="E958" s="8" t="n"/>
      <c r="F958" s="8" t="n"/>
      <c r="G958" s="8">
        <f>IF(OR(ISBLANK(E958),ISBLANK(F958)),"",IF(E958&gt;F958,"Local",IF(E958=F958,"Empate","Visitante")))</f>
        <v/>
      </c>
      <c r="H958" s="8">
        <f>IF(VLOOKUP(B958,PARTIDOS!$A:$I,9,FALSE)="Cerrado",IF(G958=VLOOKUP(B958,PARTIDOS!$A:$I,8,FALSE),IF(AND(E958=VLOOKUP(B958,PARTIDOS!$A:$I,6,FALSE),F958=VLOOKUP(B958,PARTIDOS!$A:$I,7,FALSE)),3,1),0),"")</f>
        <v/>
      </c>
    </row>
    <row r="959" ht="20.1" customHeight="1">
      <c r="A959" s="12" t="inlineStr">
        <is>
          <t>Jugador 14</t>
        </is>
      </c>
      <c r="B959" s="8" t="inlineStr">
        <is>
          <t>M22</t>
        </is>
      </c>
      <c r="C959" s="12" t="inlineStr">
        <is>
          <t>Francia</t>
        </is>
      </c>
      <c r="D959" s="12" t="inlineStr">
        <is>
          <t>Alemania</t>
        </is>
      </c>
      <c r="E959" s="8" t="n"/>
      <c r="F959" s="8" t="n"/>
      <c r="G959" s="8">
        <f>IF(OR(ISBLANK(E959),ISBLANK(F959)),"",IF(E959&gt;F959,"Local",IF(E959=F959,"Empate","Visitante")))</f>
        <v/>
      </c>
      <c r="H959" s="8">
        <f>IF(VLOOKUP(B959,PARTIDOS!$A:$I,9,FALSE)="Cerrado",IF(G959=VLOOKUP(B959,PARTIDOS!$A:$I,8,FALSE),IF(AND(E959=VLOOKUP(B959,PARTIDOS!$A:$I,6,FALSE),F959=VLOOKUP(B959,PARTIDOS!$A:$I,7,FALSE)),3,1),0),"")</f>
        <v/>
      </c>
    </row>
    <row r="960" ht="20.1" customHeight="1">
      <c r="A960" s="12" t="inlineStr">
        <is>
          <t>Jugador 14</t>
        </is>
      </c>
      <c r="B960" s="8" t="inlineStr">
        <is>
          <t>M23</t>
        </is>
      </c>
      <c r="C960" s="12" t="inlineStr">
        <is>
          <t>España</t>
        </is>
      </c>
      <c r="D960" s="12" t="inlineStr">
        <is>
          <t>Alemania</t>
        </is>
      </c>
      <c r="E960" s="8" t="n"/>
      <c r="F960" s="8" t="n"/>
      <c r="G960" s="8">
        <f>IF(OR(ISBLANK(E960),ISBLANK(F960)),"",IF(E960&gt;F960,"Local",IF(E960=F960,"Empate","Visitante")))</f>
        <v/>
      </c>
      <c r="H960" s="8">
        <f>IF(VLOOKUP(B960,PARTIDOS!$A:$I,9,FALSE)="Cerrado",IF(G960=VLOOKUP(B960,PARTIDOS!$A:$I,8,FALSE),IF(AND(E960=VLOOKUP(B960,PARTIDOS!$A:$I,6,FALSE),F960=VLOOKUP(B960,PARTIDOS!$A:$I,7,FALSE)),3,1),0),"")</f>
        <v/>
      </c>
    </row>
    <row r="961" ht="20.1" customHeight="1">
      <c r="A961" s="12" t="inlineStr">
        <is>
          <t>Jugador 14</t>
        </is>
      </c>
      <c r="B961" s="8" t="inlineStr">
        <is>
          <t>M24</t>
        </is>
      </c>
      <c r="C961" s="12" t="inlineStr">
        <is>
          <t>Francia</t>
        </is>
      </c>
      <c r="D961" s="12" t="inlineStr">
        <is>
          <t>Inglaterra</t>
        </is>
      </c>
      <c r="E961" s="8" t="n"/>
      <c r="F961" s="8" t="n"/>
      <c r="G961" s="8">
        <f>IF(OR(ISBLANK(E961),ISBLANK(F961)),"",IF(E961&gt;F961,"Local",IF(E961=F961,"Empate","Visitante")))</f>
        <v/>
      </c>
      <c r="H961" s="8">
        <f>IF(VLOOKUP(B961,PARTIDOS!$A:$I,9,FALSE)="Cerrado",IF(G961=VLOOKUP(B961,PARTIDOS!$A:$I,8,FALSE),IF(AND(E961=VLOOKUP(B961,PARTIDOS!$A:$I,6,FALSE),F961=VLOOKUP(B961,PARTIDOS!$A:$I,7,FALSE)),3,1),0),"")</f>
        <v/>
      </c>
    </row>
    <row r="962" ht="20.1" customHeight="1">
      <c r="A962" s="12" t="inlineStr">
        <is>
          <t>Jugador 14</t>
        </is>
      </c>
      <c r="B962" s="8" t="inlineStr">
        <is>
          <t>M25</t>
        </is>
      </c>
      <c r="C962" s="12" t="inlineStr">
        <is>
          <t>Portugal</t>
        </is>
      </c>
      <c r="D962" s="12" t="inlineStr">
        <is>
          <t>Bélgica</t>
        </is>
      </c>
      <c r="E962" s="8" t="n"/>
      <c r="F962" s="8" t="n"/>
      <c r="G962" s="8">
        <f>IF(OR(ISBLANK(E962),ISBLANK(F962)),"",IF(E962&gt;F962,"Local",IF(E962=F962,"Empate","Visitante")))</f>
        <v/>
      </c>
      <c r="H962" s="8">
        <f>IF(VLOOKUP(B962,PARTIDOS!$A:$I,9,FALSE)="Cerrado",IF(G962=VLOOKUP(B962,PARTIDOS!$A:$I,8,FALSE),IF(AND(E962=VLOOKUP(B962,PARTIDOS!$A:$I,6,FALSE),F962=VLOOKUP(B962,PARTIDOS!$A:$I,7,FALSE)),3,1),0),"")</f>
        <v/>
      </c>
    </row>
    <row r="963" ht="20.1" customHeight="1">
      <c r="A963" s="12" t="inlineStr">
        <is>
          <t>Jugador 14</t>
        </is>
      </c>
      <c r="B963" s="8" t="inlineStr">
        <is>
          <t>M26</t>
        </is>
      </c>
      <c r="C963" s="12" t="inlineStr">
        <is>
          <t>Países Bajos</t>
        </is>
      </c>
      <c r="D963" s="12" t="inlineStr">
        <is>
          <t>Italia</t>
        </is>
      </c>
      <c r="E963" s="8" t="n"/>
      <c r="F963" s="8" t="n"/>
      <c r="G963" s="8">
        <f>IF(OR(ISBLANK(E963),ISBLANK(F963)),"",IF(E963&gt;F963,"Local",IF(E963=F963,"Empate","Visitante")))</f>
        <v/>
      </c>
      <c r="H963" s="8">
        <f>IF(VLOOKUP(B963,PARTIDOS!$A:$I,9,FALSE)="Cerrado",IF(G963=VLOOKUP(B963,PARTIDOS!$A:$I,8,FALSE),IF(AND(E963=VLOOKUP(B963,PARTIDOS!$A:$I,6,FALSE),F963=VLOOKUP(B963,PARTIDOS!$A:$I,7,FALSE)),3,1),0),"")</f>
        <v/>
      </c>
    </row>
    <row r="964" ht="20.1" customHeight="1">
      <c r="A964" s="12" t="inlineStr">
        <is>
          <t>Jugador 14</t>
        </is>
      </c>
      <c r="B964" s="8" t="inlineStr">
        <is>
          <t>M27</t>
        </is>
      </c>
      <c r="C964" s="12" t="inlineStr">
        <is>
          <t>Portugal</t>
        </is>
      </c>
      <c r="D964" s="12" t="inlineStr">
        <is>
          <t>Países Bajos</t>
        </is>
      </c>
      <c r="E964" s="8" t="n"/>
      <c r="F964" s="8" t="n"/>
      <c r="G964" s="8">
        <f>IF(OR(ISBLANK(E964),ISBLANK(F964)),"",IF(E964&gt;F964,"Local",IF(E964=F964,"Empate","Visitante")))</f>
        <v/>
      </c>
      <c r="H964" s="8">
        <f>IF(VLOOKUP(B964,PARTIDOS!$A:$I,9,FALSE)="Cerrado",IF(G964=VLOOKUP(B964,PARTIDOS!$A:$I,8,FALSE),IF(AND(E964=VLOOKUP(B964,PARTIDOS!$A:$I,6,FALSE),F964=VLOOKUP(B964,PARTIDOS!$A:$I,7,FALSE)),3,1),0),"")</f>
        <v/>
      </c>
    </row>
    <row r="965" ht="20.1" customHeight="1">
      <c r="A965" s="12" t="inlineStr">
        <is>
          <t>Jugador 14</t>
        </is>
      </c>
      <c r="B965" s="8" t="inlineStr">
        <is>
          <t>M28</t>
        </is>
      </c>
      <c r="C965" s="12" t="inlineStr">
        <is>
          <t>Bélgica</t>
        </is>
      </c>
      <c r="D965" s="12" t="inlineStr">
        <is>
          <t>Italia</t>
        </is>
      </c>
      <c r="E965" s="8" t="n"/>
      <c r="F965" s="8" t="n"/>
      <c r="G965" s="8">
        <f>IF(OR(ISBLANK(E965),ISBLANK(F965)),"",IF(E965&gt;F965,"Local",IF(E965=F965,"Empate","Visitante")))</f>
        <v/>
      </c>
      <c r="H965" s="8">
        <f>IF(VLOOKUP(B965,PARTIDOS!$A:$I,9,FALSE)="Cerrado",IF(G965=VLOOKUP(B965,PARTIDOS!$A:$I,8,FALSE),IF(AND(E965=VLOOKUP(B965,PARTIDOS!$A:$I,6,FALSE),F965=VLOOKUP(B965,PARTIDOS!$A:$I,7,FALSE)),3,1),0),"")</f>
        <v/>
      </c>
    </row>
    <row r="966" ht="20.1" customHeight="1">
      <c r="A966" s="12" t="inlineStr">
        <is>
          <t>Jugador 14</t>
        </is>
      </c>
      <c r="B966" s="8" t="inlineStr">
        <is>
          <t>M29</t>
        </is>
      </c>
      <c r="C966" s="12" t="inlineStr">
        <is>
          <t>Portugal</t>
        </is>
      </c>
      <c r="D966" s="12" t="inlineStr">
        <is>
          <t>Italia</t>
        </is>
      </c>
      <c r="E966" s="8" t="n"/>
      <c r="F966" s="8" t="n"/>
      <c r="G966" s="8">
        <f>IF(OR(ISBLANK(E966),ISBLANK(F966)),"",IF(E966&gt;F966,"Local",IF(E966=F966,"Empate","Visitante")))</f>
        <v/>
      </c>
      <c r="H966" s="8">
        <f>IF(VLOOKUP(B966,PARTIDOS!$A:$I,9,FALSE)="Cerrado",IF(G966=VLOOKUP(B966,PARTIDOS!$A:$I,8,FALSE),IF(AND(E966=VLOOKUP(B966,PARTIDOS!$A:$I,6,FALSE),F966=VLOOKUP(B966,PARTIDOS!$A:$I,7,FALSE)),3,1),0),"")</f>
        <v/>
      </c>
    </row>
    <row r="967" ht="20.1" customHeight="1">
      <c r="A967" s="12" t="inlineStr">
        <is>
          <t>Jugador 14</t>
        </is>
      </c>
      <c r="B967" s="8" t="inlineStr">
        <is>
          <t>M30</t>
        </is>
      </c>
      <c r="C967" s="12" t="inlineStr">
        <is>
          <t>Bélgica</t>
        </is>
      </c>
      <c r="D967" s="12" t="inlineStr">
        <is>
          <t>Países Bajos</t>
        </is>
      </c>
      <c r="E967" s="8" t="n"/>
      <c r="F967" s="8" t="n"/>
      <c r="G967" s="8">
        <f>IF(OR(ISBLANK(E967),ISBLANK(F967)),"",IF(E967&gt;F967,"Local",IF(E967=F967,"Empate","Visitante")))</f>
        <v/>
      </c>
      <c r="H967" s="8">
        <f>IF(VLOOKUP(B967,PARTIDOS!$A:$I,9,FALSE)="Cerrado",IF(G967=VLOOKUP(B967,PARTIDOS!$A:$I,8,FALSE),IF(AND(E967=VLOOKUP(B967,PARTIDOS!$A:$I,6,FALSE),F967=VLOOKUP(B967,PARTIDOS!$A:$I,7,FALSE)),3,1),0),"")</f>
        <v/>
      </c>
    </row>
    <row r="968" ht="20.1" customHeight="1">
      <c r="A968" s="12" t="inlineStr">
        <is>
          <t>Jugador 14</t>
        </is>
      </c>
      <c r="B968" s="8" t="inlineStr">
        <is>
          <t>M31</t>
        </is>
      </c>
      <c r="C968" s="12" t="inlineStr">
        <is>
          <t>Croacia</t>
        </is>
      </c>
      <c r="D968" s="12" t="inlineStr">
        <is>
          <t>Suiza</t>
        </is>
      </c>
      <c r="E968" s="8" t="n"/>
      <c r="F968" s="8" t="n"/>
      <c r="G968" s="8">
        <f>IF(OR(ISBLANK(E968),ISBLANK(F968)),"",IF(E968&gt;F968,"Local",IF(E968=F968,"Empate","Visitante")))</f>
        <v/>
      </c>
      <c r="H968" s="8">
        <f>IF(VLOOKUP(B968,PARTIDOS!$A:$I,9,FALSE)="Cerrado",IF(G968=VLOOKUP(B968,PARTIDOS!$A:$I,8,FALSE),IF(AND(E968=VLOOKUP(B968,PARTIDOS!$A:$I,6,FALSE),F968=VLOOKUP(B968,PARTIDOS!$A:$I,7,FALSE)),3,1),0),"")</f>
        <v/>
      </c>
    </row>
    <row r="969" ht="20.1" customHeight="1">
      <c r="A969" s="12" t="inlineStr">
        <is>
          <t>Jugador 14</t>
        </is>
      </c>
      <c r="B969" s="8" t="inlineStr">
        <is>
          <t>M32</t>
        </is>
      </c>
      <c r="C969" s="12" t="inlineStr">
        <is>
          <t>Dinamarca</t>
        </is>
      </c>
      <c r="D969" s="12" t="inlineStr">
        <is>
          <t>Serbia</t>
        </is>
      </c>
      <c r="E969" s="8" t="n"/>
      <c r="F969" s="8" t="n"/>
      <c r="G969" s="8">
        <f>IF(OR(ISBLANK(E969),ISBLANK(F969)),"",IF(E969&gt;F969,"Local",IF(E969=F969,"Empate","Visitante")))</f>
        <v/>
      </c>
      <c r="H969" s="8">
        <f>IF(VLOOKUP(B969,PARTIDOS!$A:$I,9,FALSE)="Cerrado",IF(G969=VLOOKUP(B969,PARTIDOS!$A:$I,8,FALSE),IF(AND(E969=VLOOKUP(B969,PARTIDOS!$A:$I,6,FALSE),F969=VLOOKUP(B969,PARTIDOS!$A:$I,7,FALSE)),3,1),0),"")</f>
        <v/>
      </c>
    </row>
    <row r="970" ht="20.1" customHeight="1">
      <c r="A970" s="12" t="inlineStr">
        <is>
          <t>Jugador 14</t>
        </is>
      </c>
      <c r="B970" s="8" t="inlineStr">
        <is>
          <t>M33</t>
        </is>
      </c>
      <c r="C970" s="12" t="inlineStr">
        <is>
          <t>Croacia</t>
        </is>
      </c>
      <c r="D970" s="12" t="inlineStr">
        <is>
          <t>Dinamarca</t>
        </is>
      </c>
      <c r="E970" s="8" t="n"/>
      <c r="F970" s="8" t="n"/>
      <c r="G970" s="8">
        <f>IF(OR(ISBLANK(E970),ISBLANK(F970)),"",IF(E970&gt;F970,"Local",IF(E970=F970,"Empate","Visitante")))</f>
        <v/>
      </c>
      <c r="H970" s="8">
        <f>IF(VLOOKUP(B970,PARTIDOS!$A:$I,9,FALSE)="Cerrado",IF(G970=VLOOKUP(B970,PARTIDOS!$A:$I,8,FALSE),IF(AND(E970=VLOOKUP(B970,PARTIDOS!$A:$I,6,FALSE),F970=VLOOKUP(B970,PARTIDOS!$A:$I,7,FALSE)),3,1),0),"")</f>
        <v/>
      </c>
    </row>
    <row r="971" ht="20.1" customHeight="1">
      <c r="A971" s="12" t="inlineStr">
        <is>
          <t>Jugador 14</t>
        </is>
      </c>
      <c r="B971" s="8" t="inlineStr">
        <is>
          <t>M34</t>
        </is>
      </c>
      <c r="C971" s="12" t="inlineStr">
        <is>
          <t>Suiza</t>
        </is>
      </c>
      <c r="D971" s="12" t="inlineStr">
        <is>
          <t>Serbia</t>
        </is>
      </c>
      <c r="E971" s="8" t="n"/>
      <c r="F971" s="8" t="n"/>
      <c r="G971" s="8">
        <f>IF(OR(ISBLANK(E971),ISBLANK(F971)),"",IF(E971&gt;F971,"Local",IF(E971=F971,"Empate","Visitante")))</f>
        <v/>
      </c>
      <c r="H971" s="8">
        <f>IF(VLOOKUP(B971,PARTIDOS!$A:$I,9,FALSE)="Cerrado",IF(G971=VLOOKUP(B971,PARTIDOS!$A:$I,8,FALSE),IF(AND(E971=VLOOKUP(B971,PARTIDOS!$A:$I,6,FALSE),F971=VLOOKUP(B971,PARTIDOS!$A:$I,7,FALSE)),3,1),0),"")</f>
        <v/>
      </c>
    </row>
    <row r="972" ht="20.1" customHeight="1">
      <c r="A972" s="12" t="inlineStr">
        <is>
          <t>Jugador 14</t>
        </is>
      </c>
      <c r="B972" s="8" t="inlineStr">
        <is>
          <t>M35</t>
        </is>
      </c>
      <c r="C972" s="12" t="inlineStr">
        <is>
          <t>Croacia</t>
        </is>
      </c>
      <c r="D972" s="12" t="inlineStr">
        <is>
          <t>Serbia</t>
        </is>
      </c>
      <c r="E972" s="8" t="n"/>
      <c r="F972" s="8" t="n"/>
      <c r="G972" s="8">
        <f>IF(OR(ISBLANK(E972),ISBLANK(F972)),"",IF(E972&gt;F972,"Local",IF(E972=F972,"Empate","Visitante")))</f>
        <v/>
      </c>
      <c r="H972" s="8">
        <f>IF(VLOOKUP(B972,PARTIDOS!$A:$I,9,FALSE)="Cerrado",IF(G972=VLOOKUP(B972,PARTIDOS!$A:$I,8,FALSE),IF(AND(E972=VLOOKUP(B972,PARTIDOS!$A:$I,6,FALSE),F972=VLOOKUP(B972,PARTIDOS!$A:$I,7,FALSE)),3,1),0),"")</f>
        <v/>
      </c>
    </row>
    <row r="973" ht="20.1" customHeight="1">
      <c r="A973" s="12" t="inlineStr">
        <is>
          <t>Jugador 14</t>
        </is>
      </c>
      <c r="B973" s="8" t="inlineStr">
        <is>
          <t>M36</t>
        </is>
      </c>
      <c r="C973" s="12" t="inlineStr">
        <is>
          <t>Suiza</t>
        </is>
      </c>
      <c r="D973" s="12" t="inlineStr">
        <is>
          <t>Dinamarca</t>
        </is>
      </c>
      <c r="E973" s="8" t="n"/>
      <c r="F973" s="8" t="n"/>
      <c r="G973" s="8">
        <f>IF(OR(ISBLANK(E973),ISBLANK(F973)),"",IF(E973&gt;F973,"Local",IF(E973=F973,"Empate","Visitante")))</f>
        <v/>
      </c>
      <c r="H973" s="8">
        <f>IF(VLOOKUP(B973,PARTIDOS!$A:$I,9,FALSE)="Cerrado",IF(G973=VLOOKUP(B973,PARTIDOS!$A:$I,8,FALSE),IF(AND(E973=VLOOKUP(B973,PARTIDOS!$A:$I,6,FALSE),F973=VLOOKUP(B973,PARTIDOS!$A:$I,7,FALSE)),3,1),0),"")</f>
        <v/>
      </c>
    </row>
    <row r="974" ht="20.1" customHeight="1">
      <c r="A974" s="12" t="inlineStr">
        <is>
          <t>Jugador 14</t>
        </is>
      </c>
      <c r="B974" s="8" t="inlineStr">
        <is>
          <t>M37</t>
        </is>
      </c>
      <c r="C974" s="12" t="inlineStr">
        <is>
          <t>Polonia</t>
        </is>
      </c>
      <c r="D974" s="12" t="inlineStr">
        <is>
          <t>Ucrania</t>
        </is>
      </c>
      <c r="E974" s="8" t="n"/>
      <c r="F974" s="8" t="n"/>
      <c r="G974" s="8">
        <f>IF(OR(ISBLANK(E974),ISBLANK(F974)),"",IF(E974&gt;F974,"Local",IF(E974=F974,"Empate","Visitante")))</f>
        <v/>
      </c>
      <c r="H974" s="8">
        <f>IF(VLOOKUP(B974,PARTIDOS!$A:$I,9,FALSE)="Cerrado",IF(G974=VLOOKUP(B974,PARTIDOS!$A:$I,8,FALSE),IF(AND(E974=VLOOKUP(B974,PARTIDOS!$A:$I,6,FALSE),F974=VLOOKUP(B974,PARTIDOS!$A:$I,7,FALSE)),3,1),0),"")</f>
        <v/>
      </c>
    </row>
    <row r="975" ht="20.1" customHeight="1">
      <c r="A975" s="12" t="inlineStr">
        <is>
          <t>Jugador 14</t>
        </is>
      </c>
      <c r="B975" s="8" t="inlineStr">
        <is>
          <t>M38</t>
        </is>
      </c>
      <c r="C975" s="12" t="inlineStr">
        <is>
          <t>Suecia</t>
        </is>
      </c>
      <c r="D975" s="12" t="inlineStr">
        <is>
          <t>Gales</t>
        </is>
      </c>
      <c r="E975" s="8" t="n"/>
      <c r="F975" s="8" t="n"/>
      <c r="G975" s="8">
        <f>IF(OR(ISBLANK(E975),ISBLANK(F975)),"",IF(E975&gt;F975,"Local",IF(E975=F975,"Empate","Visitante")))</f>
        <v/>
      </c>
      <c r="H975" s="8">
        <f>IF(VLOOKUP(B975,PARTIDOS!$A:$I,9,FALSE)="Cerrado",IF(G975=VLOOKUP(B975,PARTIDOS!$A:$I,8,FALSE),IF(AND(E975=VLOOKUP(B975,PARTIDOS!$A:$I,6,FALSE),F975=VLOOKUP(B975,PARTIDOS!$A:$I,7,FALSE)),3,1),0),"")</f>
        <v/>
      </c>
    </row>
    <row r="976" ht="20.1" customHeight="1">
      <c r="A976" s="12" t="inlineStr">
        <is>
          <t>Jugador 14</t>
        </is>
      </c>
      <c r="B976" s="8" t="inlineStr">
        <is>
          <t>M39</t>
        </is>
      </c>
      <c r="C976" s="12" t="inlineStr">
        <is>
          <t>Polonia</t>
        </is>
      </c>
      <c r="D976" s="12" t="inlineStr">
        <is>
          <t>Suecia</t>
        </is>
      </c>
      <c r="E976" s="8" t="n"/>
      <c r="F976" s="8" t="n"/>
      <c r="G976" s="8">
        <f>IF(OR(ISBLANK(E976),ISBLANK(F976)),"",IF(E976&gt;F976,"Local",IF(E976=F976,"Empate","Visitante")))</f>
        <v/>
      </c>
      <c r="H976" s="8">
        <f>IF(VLOOKUP(B976,PARTIDOS!$A:$I,9,FALSE)="Cerrado",IF(G976=VLOOKUP(B976,PARTIDOS!$A:$I,8,FALSE),IF(AND(E976=VLOOKUP(B976,PARTIDOS!$A:$I,6,FALSE),F976=VLOOKUP(B976,PARTIDOS!$A:$I,7,FALSE)),3,1),0),"")</f>
        <v/>
      </c>
    </row>
    <row r="977" ht="20.1" customHeight="1">
      <c r="A977" s="12" t="inlineStr">
        <is>
          <t>Jugador 14</t>
        </is>
      </c>
      <c r="B977" s="8" t="inlineStr">
        <is>
          <t>M40</t>
        </is>
      </c>
      <c r="C977" s="12" t="inlineStr">
        <is>
          <t>Ucrania</t>
        </is>
      </c>
      <c r="D977" s="12" t="inlineStr">
        <is>
          <t>Gales</t>
        </is>
      </c>
      <c r="E977" s="8" t="n"/>
      <c r="F977" s="8" t="n"/>
      <c r="G977" s="8">
        <f>IF(OR(ISBLANK(E977),ISBLANK(F977)),"",IF(E977&gt;F977,"Local",IF(E977=F977,"Empate","Visitante")))</f>
        <v/>
      </c>
      <c r="H977" s="8">
        <f>IF(VLOOKUP(B977,PARTIDOS!$A:$I,9,FALSE)="Cerrado",IF(G977=VLOOKUP(B977,PARTIDOS!$A:$I,8,FALSE),IF(AND(E977=VLOOKUP(B977,PARTIDOS!$A:$I,6,FALSE),F977=VLOOKUP(B977,PARTIDOS!$A:$I,7,FALSE)),3,1),0),"")</f>
        <v/>
      </c>
    </row>
    <row r="978" ht="20.1" customHeight="1">
      <c r="A978" s="12" t="inlineStr">
        <is>
          <t>Jugador 14</t>
        </is>
      </c>
      <c r="B978" s="8" t="inlineStr">
        <is>
          <t>M41</t>
        </is>
      </c>
      <c r="C978" s="12" t="inlineStr">
        <is>
          <t>Polonia</t>
        </is>
      </c>
      <c r="D978" s="12" t="inlineStr">
        <is>
          <t>Gales</t>
        </is>
      </c>
      <c r="E978" s="8" t="n"/>
      <c r="F978" s="8" t="n"/>
      <c r="G978" s="8">
        <f>IF(OR(ISBLANK(E978),ISBLANK(F978)),"",IF(E978&gt;F978,"Local",IF(E978=F978,"Empate","Visitante")))</f>
        <v/>
      </c>
      <c r="H978" s="8">
        <f>IF(VLOOKUP(B978,PARTIDOS!$A:$I,9,FALSE)="Cerrado",IF(G978=VLOOKUP(B978,PARTIDOS!$A:$I,8,FALSE),IF(AND(E978=VLOOKUP(B978,PARTIDOS!$A:$I,6,FALSE),F978=VLOOKUP(B978,PARTIDOS!$A:$I,7,FALSE)),3,1),0),"")</f>
        <v/>
      </c>
    </row>
    <row r="979" ht="20.1" customHeight="1">
      <c r="A979" s="12" t="inlineStr">
        <is>
          <t>Jugador 14</t>
        </is>
      </c>
      <c r="B979" s="8" t="inlineStr">
        <is>
          <t>M42</t>
        </is>
      </c>
      <c r="C979" s="12" t="inlineStr">
        <is>
          <t>Ucrania</t>
        </is>
      </c>
      <c r="D979" s="12" t="inlineStr">
        <is>
          <t>Suecia</t>
        </is>
      </c>
      <c r="E979" s="8" t="n"/>
      <c r="F979" s="8" t="n"/>
      <c r="G979" s="8">
        <f>IF(OR(ISBLANK(E979),ISBLANK(F979)),"",IF(E979&gt;F979,"Local",IF(E979=F979,"Empate","Visitante")))</f>
        <v/>
      </c>
      <c r="H979" s="8">
        <f>IF(VLOOKUP(B979,PARTIDOS!$A:$I,9,FALSE)="Cerrado",IF(G979=VLOOKUP(B979,PARTIDOS!$A:$I,8,FALSE),IF(AND(E979=VLOOKUP(B979,PARTIDOS!$A:$I,6,FALSE),F979=VLOOKUP(B979,PARTIDOS!$A:$I,7,FALSE)),3,1),0),"")</f>
        <v/>
      </c>
    </row>
    <row r="980" ht="20.1" customHeight="1">
      <c r="A980" s="12" t="inlineStr">
        <is>
          <t>Jugador 14</t>
        </is>
      </c>
      <c r="B980" s="8" t="inlineStr">
        <is>
          <t>M43</t>
        </is>
      </c>
      <c r="C980" s="12" t="inlineStr">
        <is>
          <t>Austria</t>
        </is>
      </c>
      <c r="D980" s="12" t="inlineStr">
        <is>
          <t>Hungría</t>
        </is>
      </c>
      <c r="E980" s="8" t="n"/>
      <c r="F980" s="8" t="n"/>
      <c r="G980" s="8">
        <f>IF(OR(ISBLANK(E980),ISBLANK(F980)),"",IF(E980&gt;F980,"Local",IF(E980=F980,"Empate","Visitante")))</f>
        <v/>
      </c>
      <c r="H980" s="8">
        <f>IF(VLOOKUP(B980,PARTIDOS!$A:$I,9,FALSE)="Cerrado",IF(G980=VLOOKUP(B980,PARTIDOS!$A:$I,8,FALSE),IF(AND(E980=VLOOKUP(B980,PARTIDOS!$A:$I,6,FALSE),F980=VLOOKUP(B980,PARTIDOS!$A:$I,7,FALSE)),3,1),0),"")</f>
        <v/>
      </c>
    </row>
    <row r="981" ht="20.1" customHeight="1">
      <c r="A981" s="12" t="inlineStr">
        <is>
          <t>Jugador 14</t>
        </is>
      </c>
      <c r="B981" s="8" t="inlineStr">
        <is>
          <t>M44</t>
        </is>
      </c>
      <c r="C981" s="12" t="inlineStr">
        <is>
          <t>Turquía</t>
        </is>
      </c>
      <c r="D981" s="12" t="inlineStr">
        <is>
          <t>Escocia</t>
        </is>
      </c>
      <c r="E981" s="8" t="n"/>
      <c r="F981" s="8" t="n"/>
      <c r="G981" s="8">
        <f>IF(OR(ISBLANK(E981),ISBLANK(F981)),"",IF(E981&gt;F981,"Local",IF(E981=F981,"Empate","Visitante")))</f>
        <v/>
      </c>
      <c r="H981" s="8">
        <f>IF(VLOOKUP(B981,PARTIDOS!$A:$I,9,FALSE)="Cerrado",IF(G981=VLOOKUP(B981,PARTIDOS!$A:$I,8,FALSE),IF(AND(E981=VLOOKUP(B981,PARTIDOS!$A:$I,6,FALSE),F981=VLOOKUP(B981,PARTIDOS!$A:$I,7,FALSE)),3,1),0),"")</f>
        <v/>
      </c>
    </row>
    <row r="982" ht="20.1" customHeight="1">
      <c r="A982" s="12" t="inlineStr">
        <is>
          <t>Jugador 14</t>
        </is>
      </c>
      <c r="B982" s="8" t="inlineStr">
        <is>
          <t>M45</t>
        </is>
      </c>
      <c r="C982" s="12" t="inlineStr">
        <is>
          <t>Austria</t>
        </is>
      </c>
      <c r="D982" s="12" t="inlineStr">
        <is>
          <t>Turquía</t>
        </is>
      </c>
      <c r="E982" s="8" t="n"/>
      <c r="F982" s="8" t="n"/>
      <c r="G982" s="8">
        <f>IF(OR(ISBLANK(E982),ISBLANK(F982)),"",IF(E982&gt;F982,"Local",IF(E982=F982,"Empate","Visitante")))</f>
        <v/>
      </c>
      <c r="H982" s="8">
        <f>IF(VLOOKUP(B982,PARTIDOS!$A:$I,9,FALSE)="Cerrado",IF(G982=VLOOKUP(B982,PARTIDOS!$A:$I,8,FALSE),IF(AND(E982=VLOOKUP(B982,PARTIDOS!$A:$I,6,FALSE),F982=VLOOKUP(B982,PARTIDOS!$A:$I,7,FALSE)),3,1),0),"")</f>
        <v/>
      </c>
    </row>
    <row r="983" ht="20.1" customHeight="1">
      <c r="A983" s="12" t="inlineStr">
        <is>
          <t>Jugador 14</t>
        </is>
      </c>
      <c r="B983" s="8" t="inlineStr">
        <is>
          <t>M46</t>
        </is>
      </c>
      <c r="C983" s="12" t="inlineStr">
        <is>
          <t>Hungría</t>
        </is>
      </c>
      <c r="D983" s="12" t="inlineStr">
        <is>
          <t>Escocia</t>
        </is>
      </c>
      <c r="E983" s="8" t="n"/>
      <c r="F983" s="8" t="n"/>
      <c r="G983" s="8">
        <f>IF(OR(ISBLANK(E983),ISBLANK(F983)),"",IF(E983&gt;F983,"Local",IF(E983=F983,"Empate","Visitante")))</f>
        <v/>
      </c>
      <c r="H983" s="8">
        <f>IF(VLOOKUP(B983,PARTIDOS!$A:$I,9,FALSE)="Cerrado",IF(G983=VLOOKUP(B983,PARTIDOS!$A:$I,8,FALSE),IF(AND(E983=VLOOKUP(B983,PARTIDOS!$A:$I,6,FALSE),F983=VLOOKUP(B983,PARTIDOS!$A:$I,7,FALSE)),3,1),0),"")</f>
        <v/>
      </c>
    </row>
    <row r="984" ht="20.1" customHeight="1">
      <c r="A984" s="12" t="inlineStr">
        <is>
          <t>Jugador 14</t>
        </is>
      </c>
      <c r="B984" s="8" t="inlineStr">
        <is>
          <t>M47</t>
        </is>
      </c>
      <c r="C984" s="12" t="inlineStr">
        <is>
          <t>Austria</t>
        </is>
      </c>
      <c r="D984" s="12" t="inlineStr">
        <is>
          <t>Escocia</t>
        </is>
      </c>
      <c r="E984" s="8" t="n"/>
      <c r="F984" s="8" t="n"/>
      <c r="G984" s="8">
        <f>IF(OR(ISBLANK(E984),ISBLANK(F984)),"",IF(E984&gt;F984,"Local",IF(E984=F984,"Empate","Visitante")))</f>
        <v/>
      </c>
      <c r="H984" s="8">
        <f>IF(VLOOKUP(B984,PARTIDOS!$A:$I,9,FALSE)="Cerrado",IF(G984=VLOOKUP(B984,PARTIDOS!$A:$I,8,FALSE),IF(AND(E984=VLOOKUP(B984,PARTIDOS!$A:$I,6,FALSE),F984=VLOOKUP(B984,PARTIDOS!$A:$I,7,FALSE)),3,1),0),"")</f>
        <v/>
      </c>
    </row>
    <row r="985" ht="20.1" customHeight="1">
      <c r="A985" s="12" t="inlineStr">
        <is>
          <t>Jugador 14</t>
        </is>
      </c>
      <c r="B985" s="8" t="inlineStr">
        <is>
          <t>M48</t>
        </is>
      </c>
      <c r="C985" s="12" t="inlineStr">
        <is>
          <t>Hungría</t>
        </is>
      </c>
      <c r="D985" s="12" t="inlineStr">
        <is>
          <t>Turquía</t>
        </is>
      </c>
      <c r="E985" s="8" t="n"/>
      <c r="F985" s="8" t="n"/>
      <c r="G985" s="8">
        <f>IF(OR(ISBLANK(E985),ISBLANK(F985)),"",IF(E985&gt;F985,"Local",IF(E985=F985,"Empate","Visitante")))</f>
        <v/>
      </c>
      <c r="H985" s="8">
        <f>IF(VLOOKUP(B985,PARTIDOS!$A:$I,9,FALSE)="Cerrado",IF(G985=VLOOKUP(B985,PARTIDOS!$A:$I,8,FALSE),IF(AND(E985=VLOOKUP(B985,PARTIDOS!$A:$I,6,FALSE),F985=VLOOKUP(B985,PARTIDOS!$A:$I,7,FALSE)),3,1),0),"")</f>
        <v/>
      </c>
    </row>
    <row r="986" ht="20.1" customHeight="1">
      <c r="A986" s="12" t="inlineStr">
        <is>
          <t>Jugador 14</t>
        </is>
      </c>
      <c r="B986" s="8" t="inlineStr">
        <is>
          <t>M49</t>
        </is>
      </c>
      <c r="C986" s="12" t="inlineStr">
        <is>
          <t>República Checa</t>
        </is>
      </c>
      <c r="D986" s="12" t="inlineStr">
        <is>
          <t>Noruega</t>
        </is>
      </c>
      <c r="E986" s="8" t="n"/>
      <c r="F986" s="8" t="n"/>
      <c r="G986" s="8">
        <f>IF(OR(ISBLANK(E986),ISBLANK(F986)),"",IF(E986&gt;F986,"Local",IF(E986=F986,"Empate","Visitante")))</f>
        <v/>
      </c>
      <c r="H986" s="8">
        <f>IF(VLOOKUP(B986,PARTIDOS!$A:$I,9,FALSE)="Cerrado",IF(G986=VLOOKUP(B986,PARTIDOS!$A:$I,8,FALSE),IF(AND(E986=VLOOKUP(B986,PARTIDOS!$A:$I,6,FALSE),F986=VLOOKUP(B986,PARTIDOS!$A:$I,7,FALSE)),3,1),0),"")</f>
        <v/>
      </c>
    </row>
    <row r="987" ht="20.1" customHeight="1">
      <c r="A987" s="12" t="inlineStr">
        <is>
          <t>Jugador 14</t>
        </is>
      </c>
      <c r="B987" s="8" t="inlineStr">
        <is>
          <t>M50</t>
        </is>
      </c>
      <c r="C987" s="12" t="inlineStr">
        <is>
          <t>Japón</t>
        </is>
      </c>
      <c r="D987" s="12" t="inlineStr">
        <is>
          <t>Irán</t>
        </is>
      </c>
      <c r="E987" s="8" t="n"/>
      <c r="F987" s="8" t="n"/>
      <c r="G987" s="8">
        <f>IF(OR(ISBLANK(E987),ISBLANK(F987)),"",IF(E987&gt;F987,"Local",IF(E987=F987,"Empate","Visitante")))</f>
        <v/>
      </c>
      <c r="H987" s="8">
        <f>IF(VLOOKUP(B987,PARTIDOS!$A:$I,9,FALSE)="Cerrado",IF(G987=VLOOKUP(B987,PARTIDOS!$A:$I,8,FALSE),IF(AND(E987=VLOOKUP(B987,PARTIDOS!$A:$I,6,FALSE),F987=VLOOKUP(B987,PARTIDOS!$A:$I,7,FALSE)),3,1),0),"")</f>
        <v/>
      </c>
    </row>
    <row r="988" ht="20.1" customHeight="1">
      <c r="A988" s="12" t="inlineStr">
        <is>
          <t>Jugador 14</t>
        </is>
      </c>
      <c r="B988" s="8" t="inlineStr">
        <is>
          <t>M51</t>
        </is>
      </c>
      <c r="C988" s="12" t="inlineStr">
        <is>
          <t>República Checa</t>
        </is>
      </c>
      <c r="D988" s="12" t="inlineStr">
        <is>
          <t>Japón</t>
        </is>
      </c>
      <c r="E988" s="8" t="n"/>
      <c r="F988" s="8" t="n"/>
      <c r="G988" s="8">
        <f>IF(OR(ISBLANK(E988),ISBLANK(F988)),"",IF(E988&gt;F988,"Local",IF(E988=F988,"Empate","Visitante")))</f>
        <v/>
      </c>
      <c r="H988" s="8">
        <f>IF(VLOOKUP(B988,PARTIDOS!$A:$I,9,FALSE)="Cerrado",IF(G988=VLOOKUP(B988,PARTIDOS!$A:$I,8,FALSE),IF(AND(E988=VLOOKUP(B988,PARTIDOS!$A:$I,6,FALSE),F988=VLOOKUP(B988,PARTIDOS!$A:$I,7,FALSE)),3,1),0),"")</f>
        <v/>
      </c>
    </row>
    <row r="989" ht="20.1" customHeight="1">
      <c r="A989" s="12" t="inlineStr">
        <is>
          <t>Jugador 14</t>
        </is>
      </c>
      <c r="B989" s="8" t="inlineStr">
        <is>
          <t>M52</t>
        </is>
      </c>
      <c r="C989" s="12" t="inlineStr">
        <is>
          <t>Noruega</t>
        </is>
      </c>
      <c r="D989" s="12" t="inlineStr">
        <is>
          <t>Irán</t>
        </is>
      </c>
      <c r="E989" s="8" t="n"/>
      <c r="F989" s="8" t="n"/>
      <c r="G989" s="8">
        <f>IF(OR(ISBLANK(E989),ISBLANK(F989)),"",IF(E989&gt;F989,"Local",IF(E989=F989,"Empate","Visitante")))</f>
        <v/>
      </c>
      <c r="H989" s="8">
        <f>IF(VLOOKUP(B989,PARTIDOS!$A:$I,9,FALSE)="Cerrado",IF(G989=VLOOKUP(B989,PARTIDOS!$A:$I,8,FALSE),IF(AND(E989=VLOOKUP(B989,PARTIDOS!$A:$I,6,FALSE),F989=VLOOKUP(B989,PARTIDOS!$A:$I,7,FALSE)),3,1),0),"")</f>
        <v/>
      </c>
    </row>
    <row r="990" ht="20.1" customHeight="1">
      <c r="A990" s="12" t="inlineStr">
        <is>
          <t>Jugador 14</t>
        </is>
      </c>
      <c r="B990" s="8" t="inlineStr">
        <is>
          <t>M53</t>
        </is>
      </c>
      <c r="C990" s="12" t="inlineStr">
        <is>
          <t>República Checa</t>
        </is>
      </c>
      <c r="D990" s="12" t="inlineStr">
        <is>
          <t>Irán</t>
        </is>
      </c>
      <c r="E990" s="8" t="n"/>
      <c r="F990" s="8" t="n"/>
      <c r="G990" s="8">
        <f>IF(OR(ISBLANK(E990),ISBLANK(F990)),"",IF(E990&gt;F990,"Local",IF(E990=F990,"Empate","Visitante")))</f>
        <v/>
      </c>
      <c r="H990" s="8">
        <f>IF(VLOOKUP(B990,PARTIDOS!$A:$I,9,FALSE)="Cerrado",IF(G990=VLOOKUP(B990,PARTIDOS!$A:$I,8,FALSE),IF(AND(E990=VLOOKUP(B990,PARTIDOS!$A:$I,6,FALSE),F990=VLOOKUP(B990,PARTIDOS!$A:$I,7,FALSE)),3,1),0),"")</f>
        <v/>
      </c>
    </row>
    <row r="991" ht="20.1" customHeight="1">
      <c r="A991" s="12" t="inlineStr">
        <is>
          <t>Jugador 14</t>
        </is>
      </c>
      <c r="B991" s="8" t="inlineStr">
        <is>
          <t>M54</t>
        </is>
      </c>
      <c r="C991" s="12" t="inlineStr">
        <is>
          <t>Noruega</t>
        </is>
      </c>
      <c r="D991" s="12" t="inlineStr">
        <is>
          <t>Japón</t>
        </is>
      </c>
      <c r="E991" s="8" t="n"/>
      <c r="F991" s="8" t="n"/>
      <c r="G991" s="8">
        <f>IF(OR(ISBLANK(E991),ISBLANK(F991)),"",IF(E991&gt;F991,"Local",IF(E991=F991,"Empate","Visitante")))</f>
        <v/>
      </c>
      <c r="H991" s="8">
        <f>IF(VLOOKUP(B991,PARTIDOS!$A:$I,9,FALSE)="Cerrado",IF(G991=VLOOKUP(B991,PARTIDOS!$A:$I,8,FALSE),IF(AND(E991=VLOOKUP(B991,PARTIDOS!$A:$I,6,FALSE),F991=VLOOKUP(B991,PARTIDOS!$A:$I,7,FALSE)),3,1),0),"")</f>
        <v/>
      </c>
    </row>
    <row r="992" ht="20.1" customHeight="1">
      <c r="A992" s="12" t="inlineStr">
        <is>
          <t>Jugador 14</t>
        </is>
      </c>
      <c r="B992" s="8" t="inlineStr">
        <is>
          <t>M55</t>
        </is>
      </c>
      <c r="C992" s="12" t="inlineStr">
        <is>
          <t>Corea del Sur</t>
        </is>
      </c>
      <c r="D992" s="12" t="inlineStr">
        <is>
          <t>Australia</t>
        </is>
      </c>
      <c r="E992" s="8" t="n"/>
      <c r="F992" s="8" t="n"/>
      <c r="G992" s="8">
        <f>IF(OR(ISBLANK(E992),ISBLANK(F992)),"",IF(E992&gt;F992,"Local",IF(E992=F992,"Empate","Visitante")))</f>
        <v/>
      </c>
      <c r="H992" s="8">
        <f>IF(VLOOKUP(B992,PARTIDOS!$A:$I,9,FALSE)="Cerrado",IF(G992=VLOOKUP(B992,PARTIDOS!$A:$I,8,FALSE),IF(AND(E992=VLOOKUP(B992,PARTIDOS!$A:$I,6,FALSE),F992=VLOOKUP(B992,PARTIDOS!$A:$I,7,FALSE)),3,1),0),"")</f>
        <v/>
      </c>
    </row>
    <row r="993" ht="20.1" customHeight="1">
      <c r="A993" s="12" t="inlineStr">
        <is>
          <t>Jugador 14</t>
        </is>
      </c>
      <c r="B993" s="8" t="inlineStr">
        <is>
          <t>M56</t>
        </is>
      </c>
      <c r="C993" s="12" t="inlineStr">
        <is>
          <t>Marruecos</t>
        </is>
      </c>
      <c r="D993" s="12" t="inlineStr">
        <is>
          <t>Senegal</t>
        </is>
      </c>
      <c r="E993" s="8" t="n"/>
      <c r="F993" s="8" t="n"/>
      <c r="G993" s="8">
        <f>IF(OR(ISBLANK(E993),ISBLANK(F993)),"",IF(E993&gt;F993,"Local",IF(E993=F993,"Empate","Visitante")))</f>
        <v/>
      </c>
      <c r="H993" s="8">
        <f>IF(VLOOKUP(B993,PARTIDOS!$A:$I,9,FALSE)="Cerrado",IF(G993=VLOOKUP(B993,PARTIDOS!$A:$I,8,FALSE),IF(AND(E993=VLOOKUP(B993,PARTIDOS!$A:$I,6,FALSE),F993=VLOOKUP(B993,PARTIDOS!$A:$I,7,FALSE)),3,1),0),"")</f>
        <v/>
      </c>
    </row>
    <row r="994" ht="20.1" customHeight="1">
      <c r="A994" s="12" t="inlineStr">
        <is>
          <t>Jugador 14</t>
        </is>
      </c>
      <c r="B994" s="8" t="inlineStr">
        <is>
          <t>M57</t>
        </is>
      </c>
      <c r="C994" s="12" t="inlineStr">
        <is>
          <t>Corea del Sur</t>
        </is>
      </c>
      <c r="D994" s="12" t="inlineStr">
        <is>
          <t>Marruecos</t>
        </is>
      </c>
      <c r="E994" s="8" t="n"/>
      <c r="F994" s="8" t="n"/>
      <c r="G994" s="8">
        <f>IF(OR(ISBLANK(E994),ISBLANK(F994)),"",IF(E994&gt;F994,"Local",IF(E994=F994,"Empate","Visitante")))</f>
        <v/>
      </c>
      <c r="H994" s="8">
        <f>IF(VLOOKUP(B994,PARTIDOS!$A:$I,9,FALSE)="Cerrado",IF(G994=VLOOKUP(B994,PARTIDOS!$A:$I,8,FALSE),IF(AND(E994=VLOOKUP(B994,PARTIDOS!$A:$I,6,FALSE),F994=VLOOKUP(B994,PARTIDOS!$A:$I,7,FALSE)),3,1),0),"")</f>
        <v/>
      </c>
    </row>
    <row r="995" ht="20.1" customHeight="1">
      <c r="A995" s="12" t="inlineStr">
        <is>
          <t>Jugador 14</t>
        </is>
      </c>
      <c r="B995" s="8" t="inlineStr">
        <is>
          <t>M58</t>
        </is>
      </c>
      <c r="C995" s="12" t="inlineStr">
        <is>
          <t>Australia</t>
        </is>
      </c>
      <c r="D995" s="12" t="inlineStr">
        <is>
          <t>Senegal</t>
        </is>
      </c>
      <c r="E995" s="8" t="n"/>
      <c r="F995" s="8" t="n"/>
      <c r="G995" s="8">
        <f>IF(OR(ISBLANK(E995),ISBLANK(F995)),"",IF(E995&gt;F995,"Local",IF(E995=F995,"Empate","Visitante")))</f>
        <v/>
      </c>
      <c r="H995" s="8">
        <f>IF(VLOOKUP(B995,PARTIDOS!$A:$I,9,FALSE)="Cerrado",IF(G995=VLOOKUP(B995,PARTIDOS!$A:$I,8,FALSE),IF(AND(E995=VLOOKUP(B995,PARTIDOS!$A:$I,6,FALSE),F995=VLOOKUP(B995,PARTIDOS!$A:$I,7,FALSE)),3,1),0),"")</f>
        <v/>
      </c>
    </row>
    <row r="996" ht="20.1" customHeight="1">
      <c r="A996" s="12" t="inlineStr">
        <is>
          <t>Jugador 14</t>
        </is>
      </c>
      <c r="B996" s="8" t="inlineStr">
        <is>
          <t>M59</t>
        </is>
      </c>
      <c r="C996" s="12" t="inlineStr">
        <is>
          <t>Corea del Sur</t>
        </is>
      </c>
      <c r="D996" s="12" t="inlineStr">
        <is>
          <t>Senegal</t>
        </is>
      </c>
      <c r="E996" s="8" t="n"/>
      <c r="F996" s="8" t="n"/>
      <c r="G996" s="8">
        <f>IF(OR(ISBLANK(E996),ISBLANK(F996)),"",IF(E996&gt;F996,"Local",IF(E996=F996,"Empate","Visitante")))</f>
        <v/>
      </c>
      <c r="H996" s="8">
        <f>IF(VLOOKUP(B996,PARTIDOS!$A:$I,9,FALSE)="Cerrado",IF(G996=VLOOKUP(B996,PARTIDOS!$A:$I,8,FALSE),IF(AND(E996=VLOOKUP(B996,PARTIDOS!$A:$I,6,FALSE),F996=VLOOKUP(B996,PARTIDOS!$A:$I,7,FALSE)),3,1),0),"")</f>
        <v/>
      </c>
    </row>
    <row r="997" ht="20.1" customHeight="1">
      <c r="A997" s="12" t="inlineStr">
        <is>
          <t>Jugador 14</t>
        </is>
      </c>
      <c r="B997" s="8" t="inlineStr">
        <is>
          <t>M60</t>
        </is>
      </c>
      <c r="C997" s="12" t="inlineStr">
        <is>
          <t>Australia</t>
        </is>
      </c>
      <c r="D997" s="12" t="inlineStr">
        <is>
          <t>Marruecos</t>
        </is>
      </c>
      <c r="E997" s="8" t="n"/>
      <c r="F997" s="8" t="n"/>
      <c r="G997" s="8">
        <f>IF(OR(ISBLANK(E997),ISBLANK(F997)),"",IF(E997&gt;F997,"Local",IF(E997=F997,"Empate","Visitante")))</f>
        <v/>
      </c>
      <c r="H997" s="8">
        <f>IF(VLOOKUP(B997,PARTIDOS!$A:$I,9,FALSE)="Cerrado",IF(G997=VLOOKUP(B997,PARTIDOS!$A:$I,8,FALSE),IF(AND(E997=VLOOKUP(B997,PARTIDOS!$A:$I,6,FALSE),F997=VLOOKUP(B997,PARTIDOS!$A:$I,7,FALSE)),3,1),0),"")</f>
        <v/>
      </c>
    </row>
    <row r="998" ht="20.1" customHeight="1">
      <c r="A998" s="12" t="inlineStr">
        <is>
          <t>Jugador 14</t>
        </is>
      </c>
      <c r="B998" s="8" t="inlineStr">
        <is>
          <t>M61</t>
        </is>
      </c>
      <c r="C998" s="12" t="inlineStr">
        <is>
          <t>Túnez</t>
        </is>
      </c>
      <c r="D998" s="12" t="inlineStr">
        <is>
          <t>Nigeria</t>
        </is>
      </c>
      <c r="E998" s="8" t="n"/>
      <c r="F998" s="8" t="n"/>
      <c r="G998" s="8">
        <f>IF(OR(ISBLANK(E998),ISBLANK(F998)),"",IF(E998&gt;F998,"Local",IF(E998=F998,"Empate","Visitante")))</f>
        <v/>
      </c>
      <c r="H998" s="8">
        <f>IF(VLOOKUP(B998,PARTIDOS!$A:$I,9,FALSE)="Cerrado",IF(G998=VLOOKUP(B998,PARTIDOS!$A:$I,8,FALSE),IF(AND(E998=VLOOKUP(B998,PARTIDOS!$A:$I,6,FALSE),F998=VLOOKUP(B998,PARTIDOS!$A:$I,7,FALSE)),3,1),0),"")</f>
        <v/>
      </c>
    </row>
    <row r="999" ht="20.1" customHeight="1">
      <c r="A999" s="12" t="inlineStr">
        <is>
          <t>Jugador 14</t>
        </is>
      </c>
      <c r="B999" s="8" t="inlineStr">
        <is>
          <t>M62</t>
        </is>
      </c>
      <c r="C999" s="12" t="inlineStr">
        <is>
          <t>Camerún</t>
        </is>
      </c>
      <c r="D999" s="12" t="inlineStr">
        <is>
          <t>Egipto</t>
        </is>
      </c>
      <c r="E999" s="8" t="n"/>
      <c r="F999" s="8" t="n"/>
      <c r="G999" s="8">
        <f>IF(OR(ISBLANK(E999),ISBLANK(F999)),"",IF(E999&gt;F999,"Local",IF(E999=F999,"Empate","Visitante")))</f>
        <v/>
      </c>
      <c r="H999" s="8">
        <f>IF(VLOOKUP(B999,PARTIDOS!$A:$I,9,FALSE)="Cerrado",IF(G999=VLOOKUP(B999,PARTIDOS!$A:$I,8,FALSE),IF(AND(E999=VLOOKUP(B999,PARTIDOS!$A:$I,6,FALSE),F999=VLOOKUP(B999,PARTIDOS!$A:$I,7,FALSE)),3,1),0),"")</f>
        <v/>
      </c>
    </row>
    <row r="1000" ht="20.1" customHeight="1">
      <c r="A1000" s="12" t="inlineStr">
        <is>
          <t>Jugador 14</t>
        </is>
      </c>
      <c r="B1000" s="8" t="inlineStr">
        <is>
          <t>M63</t>
        </is>
      </c>
      <c r="C1000" s="12" t="inlineStr">
        <is>
          <t>Túnez</t>
        </is>
      </c>
      <c r="D1000" s="12" t="inlineStr">
        <is>
          <t>Camerún</t>
        </is>
      </c>
      <c r="E1000" s="8" t="n"/>
      <c r="F1000" s="8" t="n"/>
      <c r="G1000" s="8">
        <f>IF(OR(ISBLANK(E1000),ISBLANK(F1000)),"",IF(E1000&gt;F1000,"Local",IF(E1000=F1000,"Empate","Visitante")))</f>
        <v/>
      </c>
      <c r="H1000" s="8">
        <f>IF(VLOOKUP(B1000,PARTIDOS!$A:$I,9,FALSE)="Cerrado",IF(G1000=VLOOKUP(B1000,PARTIDOS!$A:$I,8,FALSE),IF(AND(E1000=VLOOKUP(B1000,PARTIDOS!$A:$I,6,FALSE),F1000=VLOOKUP(B1000,PARTIDOS!$A:$I,7,FALSE)),3,1),0),"")</f>
        <v/>
      </c>
    </row>
    <row r="1001" ht="20.1" customHeight="1">
      <c r="A1001" s="12" t="inlineStr">
        <is>
          <t>Jugador 14</t>
        </is>
      </c>
      <c r="B1001" s="8" t="inlineStr">
        <is>
          <t>M64</t>
        </is>
      </c>
      <c r="C1001" s="12" t="inlineStr">
        <is>
          <t>Nigeria</t>
        </is>
      </c>
      <c r="D1001" s="12" t="inlineStr">
        <is>
          <t>Egipto</t>
        </is>
      </c>
      <c r="E1001" s="8" t="n"/>
      <c r="F1001" s="8" t="n"/>
      <c r="G1001" s="8">
        <f>IF(OR(ISBLANK(E1001),ISBLANK(F1001)),"",IF(E1001&gt;F1001,"Local",IF(E1001=F1001,"Empate","Visitante")))</f>
        <v/>
      </c>
      <c r="H1001" s="8">
        <f>IF(VLOOKUP(B1001,PARTIDOS!$A:$I,9,FALSE)="Cerrado",IF(G1001=VLOOKUP(B1001,PARTIDOS!$A:$I,8,FALSE),IF(AND(E1001=VLOOKUP(B1001,PARTIDOS!$A:$I,6,FALSE),F1001=VLOOKUP(B1001,PARTIDOS!$A:$I,7,FALSE)),3,1),0),"")</f>
        <v/>
      </c>
    </row>
    <row r="1002" ht="20.1" customHeight="1">
      <c r="A1002" s="12" t="inlineStr">
        <is>
          <t>Jugador 14</t>
        </is>
      </c>
      <c r="B1002" s="8" t="inlineStr">
        <is>
          <t>M65</t>
        </is>
      </c>
      <c r="C1002" s="12" t="inlineStr">
        <is>
          <t>Túnez</t>
        </is>
      </c>
      <c r="D1002" s="12" t="inlineStr">
        <is>
          <t>Egipto</t>
        </is>
      </c>
      <c r="E1002" s="8" t="n"/>
      <c r="F1002" s="8" t="n"/>
      <c r="G1002" s="8">
        <f>IF(OR(ISBLANK(E1002),ISBLANK(F1002)),"",IF(E1002&gt;F1002,"Local",IF(E1002=F1002,"Empate","Visitante")))</f>
        <v/>
      </c>
      <c r="H1002" s="8">
        <f>IF(VLOOKUP(B1002,PARTIDOS!$A:$I,9,FALSE)="Cerrado",IF(G1002=VLOOKUP(B1002,PARTIDOS!$A:$I,8,FALSE),IF(AND(E1002=VLOOKUP(B1002,PARTIDOS!$A:$I,6,FALSE),F1002=VLOOKUP(B1002,PARTIDOS!$A:$I,7,FALSE)),3,1),0),"")</f>
        <v/>
      </c>
    </row>
    <row r="1003" ht="20.1" customHeight="1">
      <c r="A1003" s="12" t="inlineStr">
        <is>
          <t>Jugador 14</t>
        </is>
      </c>
      <c r="B1003" s="8" t="inlineStr">
        <is>
          <t>M66</t>
        </is>
      </c>
      <c r="C1003" s="12" t="inlineStr">
        <is>
          <t>Nigeria</t>
        </is>
      </c>
      <c r="D1003" s="12" t="inlineStr">
        <is>
          <t>Camerún</t>
        </is>
      </c>
      <c r="E1003" s="8" t="n"/>
      <c r="F1003" s="8" t="n"/>
      <c r="G1003" s="8">
        <f>IF(OR(ISBLANK(E1003),ISBLANK(F1003)),"",IF(E1003&gt;F1003,"Local",IF(E1003=F1003,"Empate","Visitante")))</f>
        <v/>
      </c>
      <c r="H1003" s="8">
        <f>IF(VLOOKUP(B1003,PARTIDOS!$A:$I,9,FALSE)="Cerrado",IF(G1003=VLOOKUP(B1003,PARTIDOS!$A:$I,8,FALSE),IF(AND(E1003=VLOOKUP(B1003,PARTIDOS!$A:$I,6,FALSE),F1003=VLOOKUP(B1003,PARTIDOS!$A:$I,7,FALSE)),3,1),0),"")</f>
        <v/>
      </c>
    </row>
    <row r="1004" ht="20.1" customHeight="1">
      <c r="A1004" s="12" t="inlineStr">
        <is>
          <t>Jugador 14</t>
        </is>
      </c>
      <c r="B1004" s="8" t="inlineStr">
        <is>
          <t>M67</t>
        </is>
      </c>
      <c r="C1004" s="12" t="inlineStr">
        <is>
          <t>Costa de Marfil</t>
        </is>
      </c>
      <c r="D1004" s="12" t="inlineStr">
        <is>
          <t>Sudáfrica</t>
        </is>
      </c>
      <c r="E1004" s="8" t="n"/>
      <c r="F1004" s="8" t="n"/>
      <c r="G1004" s="8">
        <f>IF(OR(ISBLANK(E1004),ISBLANK(F1004)),"",IF(E1004&gt;F1004,"Local",IF(E1004=F1004,"Empate","Visitante")))</f>
        <v/>
      </c>
      <c r="H1004" s="8">
        <f>IF(VLOOKUP(B1004,PARTIDOS!$A:$I,9,FALSE)="Cerrado",IF(G1004=VLOOKUP(B1004,PARTIDOS!$A:$I,8,FALSE),IF(AND(E1004=VLOOKUP(B1004,PARTIDOS!$A:$I,6,FALSE),F1004=VLOOKUP(B1004,PARTIDOS!$A:$I,7,FALSE)),3,1),0),"")</f>
        <v/>
      </c>
    </row>
    <row r="1005" ht="20.1" customHeight="1">
      <c r="A1005" s="12" t="inlineStr">
        <is>
          <t>Jugador 14</t>
        </is>
      </c>
      <c r="B1005" s="8" t="inlineStr">
        <is>
          <t>M68</t>
        </is>
      </c>
      <c r="C1005" s="12" t="inlineStr">
        <is>
          <t>Panáma</t>
        </is>
      </c>
      <c r="D1005" s="12" t="inlineStr">
        <is>
          <t>Nueva Zelanda</t>
        </is>
      </c>
      <c r="E1005" s="8" t="n"/>
      <c r="F1005" s="8" t="n"/>
      <c r="G1005" s="8">
        <f>IF(OR(ISBLANK(E1005),ISBLANK(F1005)),"",IF(E1005&gt;F1005,"Local",IF(E1005=F1005,"Empate","Visitante")))</f>
        <v/>
      </c>
      <c r="H1005" s="8">
        <f>IF(VLOOKUP(B1005,PARTIDOS!$A:$I,9,FALSE)="Cerrado",IF(G1005=VLOOKUP(B1005,PARTIDOS!$A:$I,8,FALSE),IF(AND(E1005=VLOOKUP(B1005,PARTIDOS!$A:$I,6,FALSE),F1005=VLOOKUP(B1005,PARTIDOS!$A:$I,7,FALSE)),3,1),0),"")</f>
        <v/>
      </c>
    </row>
    <row r="1006" ht="20.1" customHeight="1">
      <c r="A1006" s="12" t="inlineStr">
        <is>
          <t>Jugador 14</t>
        </is>
      </c>
      <c r="B1006" s="8" t="inlineStr">
        <is>
          <t>M69</t>
        </is>
      </c>
      <c r="C1006" s="12" t="inlineStr">
        <is>
          <t>Costa de Marfil</t>
        </is>
      </c>
      <c r="D1006" s="12" t="inlineStr">
        <is>
          <t>Panáma</t>
        </is>
      </c>
      <c r="E1006" s="8" t="n"/>
      <c r="F1006" s="8" t="n"/>
      <c r="G1006" s="8">
        <f>IF(OR(ISBLANK(E1006),ISBLANK(F1006)),"",IF(E1006&gt;F1006,"Local",IF(E1006=F1006,"Empate","Visitante")))</f>
        <v/>
      </c>
      <c r="H1006" s="8">
        <f>IF(VLOOKUP(B1006,PARTIDOS!$A:$I,9,FALSE)="Cerrado",IF(G1006=VLOOKUP(B1006,PARTIDOS!$A:$I,8,FALSE),IF(AND(E1006=VLOOKUP(B1006,PARTIDOS!$A:$I,6,FALSE),F1006=VLOOKUP(B1006,PARTIDOS!$A:$I,7,FALSE)),3,1),0),"")</f>
        <v/>
      </c>
    </row>
    <row r="1007" ht="20.1" customHeight="1">
      <c r="A1007" s="12" t="inlineStr">
        <is>
          <t>Jugador 14</t>
        </is>
      </c>
      <c r="B1007" s="8" t="inlineStr">
        <is>
          <t>M70</t>
        </is>
      </c>
      <c r="C1007" s="12" t="inlineStr">
        <is>
          <t>Sudáfrica</t>
        </is>
      </c>
      <c r="D1007" s="12" t="inlineStr">
        <is>
          <t>Nueva Zelanda</t>
        </is>
      </c>
      <c r="E1007" s="8" t="n"/>
      <c r="F1007" s="8" t="n"/>
      <c r="G1007" s="8">
        <f>IF(OR(ISBLANK(E1007),ISBLANK(F1007)),"",IF(E1007&gt;F1007,"Local",IF(E1007=F1007,"Empate","Visitante")))</f>
        <v/>
      </c>
      <c r="H1007" s="8">
        <f>IF(VLOOKUP(B1007,PARTIDOS!$A:$I,9,FALSE)="Cerrado",IF(G1007=VLOOKUP(B1007,PARTIDOS!$A:$I,8,FALSE),IF(AND(E1007=VLOOKUP(B1007,PARTIDOS!$A:$I,6,FALSE),F1007=VLOOKUP(B1007,PARTIDOS!$A:$I,7,FALSE)),3,1),0),"")</f>
        <v/>
      </c>
    </row>
    <row r="1008" ht="20.1" customHeight="1">
      <c r="A1008" s="12" t="inlineStr">
        <is>
          <t>Jugador 14</t>
        </is>
      </c>
      <c r="B1008" s="8" t="inlineStr">
        <is>
          <t>M71</t>
        </is>
      </c>
      <c r="C1008" s="12" t="inlineStr">
        <is>
          <t>Costa de Marfil</t>
        </is>
      </c>
      <c r="D1008" s="12" t="inlineStr">
        <is>
          <t>Nueva Zelanda</t>
        </is>
      </c>
      <c r="E1008" s="8" t="n"/>
      <c r="F1008" s="8" t="n"/>
      <c r="G1008" s="8">
        <f>IF(OR(ISBLANK(E1008),ISBLANK(F1008)),"",IF(E1008&gt;F1008,"Local",IF(E1008=F1008,"Empate","Visitante")))</f>
        <v/>
      </c>
      <c r="H1008" s="8">
        <f>IF(VLOOKUP(B1008,PARTIDOS!$A:$I,9,FALSE)="Cerrado",IF(G1008=VLOOKUP(B1008,PARTIDOS!$A:$I,8,FALSE),IF(AND(E1008=VLOOKUP(B1008,PARTIDOS!$A:$I,6,FALSE),F1008=VLOOKUP(B1008,PARTIDOS!$A:$I,7,FALSE)),3,1),0),"")</f>
        <v/>
      </c>
    </row>
    <row r="1009" ht="20.1" customHeight="1">
      <c r="A1009" s="12" t="inlineStr">
        <is>
          <t>Jugador 14</t>
        </is>
      </c>
      <c r="B1009" s="8" t="inlineStr">
        <is>
          <t>M72</t>
        </is>
      </c>
      <c r="C1009" s="12" t="inlineStr">
        <is>
          <t>Sudáfrica</t>
        </is>
      </c>
      <c r="D1009" s="12" t="inlineStr">
        <is>
          <t>Panáma</t>
        </is>
      </c>
      <c r="E1009" s="8" t="n"/>
      <c r="F1009" s="8" t="n"/>
      <c r="G1009" s="8">
        <f>IF(OR(ISBLANK(E1009),ISBLANK(F1009)),"",IF(E1009&gt;F1009,"Local",IF(E1009=F1009,"Empate","Visitante")))</f>
        <v/>
      </c>
      <c r="H1009" s="8">
        <f>IF(VLOOKUP(B1009,PARTIDOS!$A:$I,9,FALSE)="Cerrado",IF(G1009=VLOOKUP(B1009,PARTIDOS!$A:$I,8,FALSE),IF(AND(E1009=VLOOKUP(B1009,PARTIDOS!$A:$I,6,FALSE),F1009=VLOOKUP(B1009,PARTIDOS!$A:$I,7,FALSE)),3,1),0),"")</f>
        <v/>
      </c>
    </row>
    <row r="1010" ht="20.1" customHeight="1">
      <c r="A1010" s="12" t="inlineStr">
        <is>
          <t>Jugador 15</t>
        </is>
      </c>
      <c r="B1010" s="8" t="inlineStr">
        <is>
          <t>M01</t>
        </is>
      </c>
      <c r="C1010" s="12" t="inlineStr">
        <is>
          <t>México</t>
        </is>
      </c>
      <c r="D1010" s="12" t="inlineStr">
        <is>
          <t>EEUU</t>
        </is>
      </c>
      <c r="E1010" s="8" t="n"/>
      <c r="F1010" s="8" t="n"/>
      <c r="G1010" s="8">
        <f>IF(OR(ISBLANK(E1010),ISBLANK(F1010)),"",IF(E1010&gt;F1010,"Local",IF(E1010=F1010,"Empate","Visitante")))</f>
        <v/>
      </c>
      <c r="H1010" s="8">
        <f>IF(VLOOKUP(B1010,PARTIDOS!$A:$I,9,FALSE)="Cerrado",IF(G1010=VLOOKUP(B1010,PARTIDOS!$A:$I,8,FALSE),IF(AND(E1010=VLOOKUP(B1010,PARTIDOS!$A:$I,6,FALSE),F1010=VLOOKUP(B1010,PARTIDOS!$A:$I,7,FALSE)),3,1),0),"")</f>
        <v/>
      </c>
    </row>
    <row r="1011" ht="20.1" customHeight="1">
      <c r="A1011" s="12" t="inlineStr">
        <is>
          <t>Jugador 15</t>
        </is>
      </c>
      <c r="B1011" s="8" t="inlineStr">
        <is>
          <t>M02</t>
        </is>
      </c>
      <c r="C1011" s="12" t="inlineStr">
        <is>
          <t>Canadá</t>
        </is>
      </c>
      <c r="D1011" s="12" t="inlineStr">
        <is>
          <t>Jamaica</t>
        </is>
      </c>
      <c r="E1011" s="8" t="n"/>
      <c r="F1011" s="8" t="n"/>
      <c r="G1011" s="8">
        <f>IF(OR(ISBLANK(E1011),ISBLANK(F1011)),"",IF(E1011&gt;F1011,"Local",IF(E1011=F1011,"Empate","Visitante")))</f>
        <v/>
      </c>
      <c r="H1011" s="8">
        <f>IF(VLOOKUP(B1011,PARTIDOS!$A:$I,9,FALSE)="Cerrado",IF(G1011=VLOOKUP(B1011,PARTIDOS!$A:$I,8,FALSE),IF(AND(E1011=VLOOKUP(B1011,PARTIDOS!$A:$I,6,FALSE),F1011=VLOOKUP(B1011,PARTIDOS!$A:$I,7,FALSE)),3,1),0),"")</f>
        <v/>
      </c>
    </row>
    <row r="1012" ht="20.1" customHeight="1">
      <c r="A1012" s="12" t="inlineStr">
        <is>
          <t>Jugador 15</t>
        </is>
      </c>
      <c r="B1012" s="8" t="inlineStr">
        <is>
          <t>M03</t>
        </is>
      </c>
      <c r="C1012" s="12" t="inlineStr">
        <is>
          <t>México</t>
        </is>
      </c>
      <c r="D1012" s="12" t="inlineStr">
        <is>
          <t>Canadá</t>
        </is>
      </c>
      <c r="E1012" s="8" t="n"/>
      <c r="F1012" s="8" t="n"/>
      <c r="G1012" s="8">
        <f>IF(OR(ISBLANK(E1012),ISBLANK(F1012)),"",IF(E1012&gt;F1012,"Local",IF(E1012=F1012,"Empate","Visitante")))</f>
        <v/>
      </c>
      <c r="H1012" s="8">
        <f>IF(VLOOKUP(B1012,PARTIDOS!$A:$I,9,FALSE)="Cerrado",IF(G1012=VLOOKUP(B1012,PARTIDOS!$A:$I,8,FALSE),IF(AND(E1012=VLOOKUP(B1012,PARTIDOS!$A:$I,6,FALSE),F1012=VLOOKUP(B1012,PARTIDOS!$A:$I,7,FALSE)),3,1),0),"")</f>
        <v/>
      </c>
    </row>
    <row r="1013" ht="20.1" customHeight="1">
      <c r="A1013" s="12" t="inlineStr">
        <is>
          <t>Jugador 15</t>
        </is>
      </c>
      <c r="B1013" s="8" t="inlineStr">
        <is>
          <t>M04</t>
        </is>
      </c>
      <c r="C1013" s="12" t="inlineStr">
        <is>
          <t>EEUU</t>
        </is>
      </c>
      <c r="D1013" s="12" t="inlineStr">
        <is>
          <t>Jamaica</t>
        </is>
      </c>
      <c r="E1013" s="8" t="n"/>
      <c r="F1013" s="8" t="n"/>
      <c r="G1013" s="8">
        <f>IF(OR(ISBLANK(E1013),ISBLANK(F1013)),"",IF(E1013&gt;F1013,"Local",IF(E1013=F1013,"Empate","Visitante")))</f>
        <v/>
      </c>
      <c r="H1013" s="8">
        <f>IF(VLOOKUP(B1013,PARTIDOS!$A:$I,9,FALSE)="Cerrado",IF(G1013=VLOOKUP(B1013,PARTIDOS!$A:$I,8,FALSE),IF(AND(E1013=VLOOKUP(B1013,PARTIDOS!$A:$I,6,FALSE),F1013=VLOOKUP(B1013,PARTIDOS!$A:$I,7,FALSE)),3,1),0),"")</f>
        <v/>
      </c>
    </row>
    <row r="1014" ht="20.1" customHeight="1">
      <c r="A1014" s="12" t="inlineStr">
        <is>
          <t>Jugador 15</t>
        </is>
      </c>
      <c r="B1014" s="8" t="inlineStr">
        <is>
          <t>M05</t>
        </is>
      </c>
      <c r="C1014" s="12" t="inlineStr">
        <is>
          <t>México</t>
        </is>
      </c>
      <c r="D1014" s="12" t="inlineStr">
        <is>
          <t>Jamaica</t>
        </is>
      </c>
      <c r="E1014" s="8" t="n"/>
      <c r="F1014" s="8" t="n"/>
      <c r="G1014" s="8">
        <f>IF(OR(ISBLANK(E1014),ISBLANK(F1014)),"",IF(E1014&gt;F1014,"Local",IF(E1014=F1014,"Empate","Visitante")))</f>
        <v/>
      </c>
      <c r="H1014" s="8">
        <f>IF(VLOOKUP(B1014,PARTIDOS!$A:$I,9,FALSE)="Cerrado",IF(G1014=VLOOKUP(B1014,PARTIDOS!$A:$I,8,FALSE),IF(AND(E1014=VLOOKUP(B1014,PARTIDOS!$A:$I,6,FALSE),F1014=VLOOKUP(B1014,PARTIDOS!$A:$I,7,FALSE)),3,1),0),"")</f>
        <v/>
      </c>
    </row>
    <row r="1015" ht="20.1" customHeight="1">
      <c r="A1015" s="12" t="inlineStr">
        <is>
          <t>Jugador 15</t>
        </is>
      </c>
      <c r="B1015" s="8" t="inlineStr">
        <is>
          <t>M06</t>
        </is>
      </c>
      <c r="C1015" s="12" t="inlineStr">
        <is>
          <t>EEUU</t>
        </is>
      </c>
      <c r="D1015" s="12" t="inlineStr">
        <is>
          <t>Canadá</t>
        </is>
      </c>
      <c r="E1015" s="8" t="n"/>
      <c r="F1015" s="8" t="n"/>
      <c r="G1015" s="8">
        <f>IF(OR(ISBLANK(E1015),ISBLANK(F1015)),"",IF(E1015&gt;F1015,"Local",IF(E1015=F1015,"Empate","Visitante")))</f>
        <v/>
      </c>
      <c r="H1015" s="8">
        <f>IF(VLOOKUP(B1015,PARTIDOS!$A:$I,9,FALSE)="Cerrado",IF(G1015=VLOOKUP(B1015,PARTIDOS!$A:$I,8,FALSE),IF(AND(E1015=VLOOKUP(B1015,PARTIDOS!$A:$I,6,FALSE),F1015=VLOOKUP(B1015,PARTIDOS!$A:$I,7,FALSE)),3,1),0),"")</f>
        <v/>
      </c>
    </row>
    <row r="1016" ht="20.1" customHeight="1">
      <c r="A1016" s="12" t="inlineStr">
        <is>
          <t>Jugador 15</t>
        </is>
      </c>
      <c r="B1016" s="8" t="inlineStr">
        <is>
          <t>M07</t>
        </is>
      </c>
      <c r="C1016" s="12" t="inlineStr">
        <is>
          <t>Argentina</t>
        </is>
      </c>
      <c r="D1016" s="12" t="inlineStr">
        <is>
          <t>Brasil</t>
        </is>
      </c>
      <c r="E1016" s="8" t="n"/>
      <c r="F1016" s="8" t="n"/>
      <c r="G1016" s="8">
        <f>IF(OR(ISBLANK(E1016),ISBLANK(F1016)),"",IF(E1016&gt;F1016,"Local",IF(E1016=F1016,"Empate","Visitante")))</f>
        <v/>
      </c>
      <c r="H1016" s="8">
        <f>IF(VLOOKUP(B1016,PARTIDOS!$A:$I,9,FALSE)="Cerrado",IF(G1016=VLOOKUP(B1016,PARTIDOS!$A:$I,8,FALSE),IF(AND(E1016=VLOOKUP(B1016,PARTIDOS!$A:$I,6,FALSE),F1016=VLOOKUP(B1016,PARTIDOS!$A:$I,7,FALSE)),3,1),0),"")</f>
        <v/>
      </c>
    </row>
    <row r="1017" ht="20.1" customHeight="1">
      <c r="A1017" s="12" t="inlineStr">
        <is>
          <t>Jugador 15</t>
        </is>
      </c>
      <c r="B1017" s="8" t="inlineStr">
        <is>
          <t>M08</t>
        </is>
      </c>
      <c r="C1017" s="12" t="inlineStr">
        <is>
          <t>Colombia</t>
        </is>
      </c>
      <c r="D1017" s="12" t="inlineStr">
        <is>
          <t>Uruguay</t>
        </is>
      </c>
      <c r="E1017" s="8" t="n"/>
      <c r="F1017" s="8" t="n"/>
      <c r="G1017" s="8">
        <f>IF(OR(ISBLANK(E1017),ISBLANK(F1017)),"",IF(E1017&gt;F1017,"Local",IF(E1017=F1017,"Empate","Visitante")))</f>
        <v/>
      </c>
      <c r="H1017" s="8">
        <f>IF(VLOOKUP(B1017,PARTIDOS!$A:$I,9,FALSE)="Cerrado",IF(G1017=VLOOKUP(B1017,PARTIDOS!$A:$I,8,FALSE),IF(AND(E1017=VLOOKUP(B1017,PARTIDOS!$A:$I,6,FALSE),F1017=VLOOKUP(B1017,PARTIDOS!$A:$I,7,FALSE)),3,1),0),"")</f>
        <v/>
      </c>
    </row>
    <row r="1018" ht="20.1" customHeight="1">
      <c r="A1018" s="12" t="inlineStr">
        <is>
          <t>Jugador 15</t>
        </is>
      </c>
      <c r="B1018" s="8" t="inlineStr">
        <is>
          <t>M09</t>
        </is>
      </c>
      <c r="C1018" s="12" t="inlineStr">
        <is>
          <t>Argentina</t>
        </is>
      </c>
      <c r="D1018" s="12" t="inlineStr">
        <is>
          <t>Colombia</t>
        </is>
      </c>
      <c r="E1018" s="8" t="n"/>
      <c r="F1018" s="8" t="n"/>
      <c r="G1018" s="8">
        <f>IF(OR(ISBLANK(E1018),ISBLANK(F1018)),"",IF(E1018&gt;F1018,"Local",IF(E1018=F1018,"Empate","Visitante")))</f>
        <v/>
      </c>
      <c r="H1018" s="8">
        <f>IF(VLOOKUP(B1018,PARTIDOS!$A:$I,9,FALSE)="Cerrado",IF(G1018=VLOOKUP(B1018,PARTIDOS!$A:$I,8,FALSE),IF(AND(E1018=VLOOKUP(B1018,PARTIDOS!$A:$I,6,FALSE),F1018=VLOOKUP(B1018,PARTIDOS!$A:$I,7,FALSE)),3,1),0),"")</f>
        <v/>
      </c>
    </row>
    <row r="1019" ht="20.1" customHeight="1">
      <c r="A1019" s="12" t="inlineStr">
        <is>
          <t>Jugador 15</t>
        </is>
      </c>
      <c r="B1019" s="8" t="inlineStr">
        <is>
          <t>M10</t>
        </is>
      </c>
      <c r="C1019" s="12" t="inlineStr">
        <is>
          <t>Brasil</t>
        </is>
      </c>
      <c r="D1019" s="12" t="inlineStr">
        <is>
          <t>Uruguay</t>
        </is>
      </c>
      <c r="E1019" s="8" t="n"/>
      <c r="F1019" s="8" t="n"/>
      <c r="G1019" s="8">
        <f>IF(OR(ISBLANK(E1019),ISBLANK(F1019)),"",IF(E1019&gt;F1019,"Local",IF(E1019=F1019,"Empate","Visitante")))</f>
        <v/>
      </c>
      <c r="H1019" s="8">
        <f>IF(VLOOKUP(B1019,PARTIDOS!$A:$I,9,FALSE)="Cerrado",IF(G1019=VLOOKUP(B1019,PARTIDOS!$A:$I,8,FALSE),IF(AND(E1019=VLOOKUP(B1019,PARTIDOS!$A:$I,6,FALSE),F1019=VLOOKUP(B1019,PARTIDOS!$A:$I,7,FALSE)),3,1),0),"")</f>
        <v/>
      </c>
    </row>
    <row r="1020" ht="20.1" customHeight="1">
      <c r="A1020" s="12" t="inlineStr">
        <is>
          <t>Jugador 15</t>
        </is>
      </c>
      <c r="B1020" s="8" t="inlineStr">
        <is>
          <t>M11</t>
        </is>
      </c>
      <c r="C1020" s="12" t="inlineStr">
        <is>
          <t>Argentina</t>
        </is>
      </c>
      <c r="D1020" s="12" t="inlineStr">
        <is>
          <t>Uruguay</t>
        </is>
      </c>
      <c r="E1020" s="8" t="n"/>
      <c r="F1020" s="8" t="n"/>
      <c r="G1020" s="8">
        <f>IF(OR(ISBLANK(E1020),ISBLANK(F1020)),"",IF(E1020&gt;F1020,"Local",IF(E1020=F1020,"Empate","Visitante")))</f>
        <v/>
      </c>
      <c r="H1020" s="8">
        <f>IF(VLOOKUP(B1020,PARTIDOS!$A:$I,9,FALSE)="Cerrado",IF(G1020=VLOOKUP(B1020,PARTIDOS!$A:$I,8,FALSE),IF(AND(E1020=VLOOKUP(B1020,PARTIDOS!$A:$I,6,FALSE),F1020=VLOOKUP(B1020,PARTIDOS!$A:$I,7,FALSE)),3,1),0),"")</f>
        <v/>
      </c>
    </row>
    <row r="1021" ht="20.1" customHeight="1">
      <c r="A1021" s="12" t="inlineStr">
        <is>
          <t>Jugador 15</t>
        </is>
      </c>
      <c r="B1021" s="8" t="inlineStr">
        <is>
          <t>M12</t>
        </is>
      </c>
      <c r="C1021" s="12" t="inlineStr">
        <is>
          <t>Brasil</t>
        </is>
      </c>
      <c r="D1021" s="12" t="inlineStr">
        <is>
          <t>Colombia</t>
        </is>
      </c>
      <c r="E1021" s="8" t="n"/>
      <c r="F1021" s="8" t="n"/>
      <c r="G1021" s="8">
        <f>IF(OR(ISBLANK(E1021),ISBLANK(F1021)),"",IF(E1021&gt;F1021,"Local",IF(E1021=F1021,"Empate","Visitante")))</f>
        <v/>
      </c>
      <c r="H1021" s="8">
        <f>IF(VLOOKUP(B1021,PARTIDOS!$A:$I,9,FALSE)="Cerrado",IF(G1021=VLOOKUP(B1021,PARTIDOS!$A:$I,8,FALSE),IF(AND(E1021=VLOOKUP(B1021,PARTIDOS!$A:$I,6,FALSE),F1021=VLOOKUP(B1021,PARTIDOS!$A:$I,7,FALSE)),3,1),0),"")</f>
        <v/>
      </c>
    </row>
    <row r="1022" ht="20.1" customHeight="1">
      <c r="A1022" s="12" t="inlineStr">
        <is>
          <t>Jugador 15</t>
        </is>
      </c>
      <c r="B1022" s="8" t="inlineStr">
        <is>
          <t>M13</t>
        </is>
      </c>
      <c r="C1022" s="12" t="inlineStr">
        <is>
          <t>Ecuador</t>
        </is>
      </c>
      <c r="D1022" s="12" t="inlineStr">
        <is>
          <t>Perú</t>
        </is>
      </c>
      <c r="E1022" s="8" t="n"/>
      <c r="F1022" s="8" t="n"/>
      <c r="G1022" s="8">
        <f>IF(OR(ISBLANK(E1022),ISBLANK(F1022)),"",IF(E1022&gt;F1022,"Local",IF(E1022=F1022,"Empate","Visitante")))</f>
        <v/>
      </c>
      <c r="H1022" s="8">
        <f>IF(VLOOKUP(B1022,PARTIDOS!$A:$I,9,FALSE)="Cerrado",IF(G1022=VLOOKUP(B1022,PARTIDOS!$A:$I,8,FALSE),IF(AND(E1022=VLOOKUP(B1022,PARTIDOS!$A:$I,6,FALSE),F1022=VLOOKUP(B1022,PARTIDOS!$A:$I,7,FALSE)),3,1),0),"")</f>
        <v/>
      </c>
    </row>
    <row r="1023" ht="20.1" customHeight="1">
      <c r="A1023" s="12" t="inlineStr">
        <is>
          <t>Jugador 15</t>
        </is>
      </c>
      <c r="B1023" s="8" t="inlineStr">
        <is>
          <t>M14</t>
        </is>
      </c>
      <c r="C1023" s="12" t="inlineStr">
        <is>
          <t>Chile</t>
        </is>
      </c>
      <c r="D1023" s="12" t="inlineStr">
        <is>
          <t>Paraguay</t>
        </is>
      </c>
      <c r="E1023" s="8" t="n"/>
      <c r="F1023" s="8" t="n"/>
      <c r="G1023" s="8">
        <f>IF(OR(ISBLANK(E1023),ISBLANK(F1023)),"",IF(E1023&gt;F1023,"Local",IF(E1023=F1023,"Empate","Visitante")))</f>
        <v/>
      </c>
      <c r="H1023" s="8">
        <f>IF(VLOOKUP(B1023,PARTIDOS!$A:$I,9,FALSE)="Cerrado",IF(G1023=VLOOKUP(B1023,PARTIDOS!$A:$I,8,FALSE),IF(AND(E1023=VLOOKUP(B1023,PARTIDOS!$A:$I,6,FALSE),F1023=VLOOKUP(B1023,PARTIDOS!$A:$I,7,FALSE)),3,1),0),"")</f>
        <v/>
      </c>
    </row>
    <row r="1024" ht="20.1" customHeight="1">
      <c r="A1024" s="12" t="inlineStr">
        <is>
          <t>Jugador 15</t>
        </is>
      </c>
      <c r="B1024" s="8" t="inlineStr">
        <is>
          <t>M15</t>
        </is>
      </c>
      <c r="C1024" s="12" t="inlineStr">
        <is>
          <t>Ecuador</t>
        </is>
      </c>
      <c r="D1024" s="12" t="inlineStr">
        <is>
          <t>Chile</t>
        </is>
      </c>
      <c r="E1024" s="8" t="n"/>
      <c r="F1024" s="8" t="n"/>
      <c r="G1024" s="8">
        <f>IF(OR(ISBLANK(E1024),ISBLANK(F1024)),"",IF(E1024&gt;F1024,"Local",IF(E1024=F1024,"Empate","Visitante")))</f>
        <v/>
      </c>
      <c r="H1024" s="8">
        <f>IF(VLOOKUP(B1024,PARTIDOS!$A:$I,9,FALSE)="Cerrado",IF(G1024=VLOOKUP(B1024,PARTIDOS!$A:$I,8,FALSE),IF(AND(E1024=VLOOKUP(B1024,PARTIDOS!$A:$I,6,FALSE),F1024=VLOOKUP(B1024,PARTIDOS!$A:$I,7,FALSE)),3,1),0),"")</f>
        <v/>
      </c>
    </row>
    <row r="1025" ht="20.1" customHeight="1">
      <c r="A1025" s="12" t="inlineStr">
        <is>
          <t>Jugador 15</t>
        </is>
      </c>
      <c r="B1025" s="8" t="inlineStr">
        <is>
          <t>M16</t>
        </is>
      </c>
      <c r="C1025" s="12" t="inlineStr">
        <is>
          <t>Perú</t>
        </is>
      </c>
      <c r="D1025" s="12" t="inlineStr">
        <is>
          <t>Paraguay</t>
        </is>
      </c>
      <c r="E1025" s="8" t="n"/>
      <c r="F1025" s="8" t="n"/>
      <c r="G1025" s="8">
        <f>IF(OR(ISBLANK(E1025),ISBLANK(F1025)),"",IF(E1025&gt;F1025,"Local",IF(E1025=F1025,"Empate","Visitante")))</f>
        <v/>
      </c>
      <c r="H1025" s="8">
        <f>IF(VLOOKUP(B1025,PARTIDOS!$A:$I,9,FALSE)="Cerrado",IF(G1025=VLOOKUP(B1025,PARTIDOS!$A:$I,8,FALSE),IF(AND(E1025=VLOOKUP(B1025,PARTIDOS!$A:$I,6,FALSE),F1025=VLOOKUP(B1025,PARTIDOS!$A:$I,7,FALSE)),3,1),0),"")</f>
        <v/>
      </c>
    </row>
    <row r="1026" ht="20.1" customHeight="1">
      <c r="A1026" s="12" t="inlineStr">
        <is>
          <t>Jugador 15</t>
        </is>
      </c>
      <c r="B1026" s="8" t="inlineStr">
        <is>
          <t>M17</t>
        </is>
      </c>
      <c r="C1026" s="12" t="inlineStr">
        <is>
          <t>Ecuador</t>
        </is>
      </c>
      <c r="D1026" s="12" t="inlineStr">
        <is>
          <t>Paraguay</t>
        </is>
      </c>
      <c r="E1026" s="8" t="n"/>
      <c r="F1026" s="8" t="n"/>
      <c r="G1026" s="8">
        <f>IF(OR(ISBLANK(E1026),ISBLANK(F1026)),"",IF(E1026&gt;F1026,"Local",IF(E1026=F1026,"Empate","Visitante")))</f>
        <v/>
      </c>
      <c r="H1026" s="8">
        <f>IF(VLOOKUP(B1026,PARTIDOS!$A:$I,9,FALSE)="Cerrado",IF(G1026=VLOOKUP(B1026,PARTIDOS!$A:$I,8,FALSE),IF(AND(E1026=VLOOKUP(B1026,PARTIDOS!$A:$I,6,FALSE),F1026=VLOOKUP(B1026,PARTIDOS!$A:$I,7,FALSE)),3,1),0),"")</f>
        <v/>
      </c>
    </row>
    <row r="1027" ht="20.1" customHeight="1">
      <c r="A1027" s="12" t="inlineStr">
        <is>
          <t>Jugador 15</t>
        </is>
      </c>
      <c r="B1027" s="8" t="inlineStr">
        <is>
          <t>M18</t>
        </is>
      </c>
      <c r="C1027" s="12" t="inlineStr">
        <is>
          <t>Perú</t>
        </is>
      </c>
      <c r="D1027" s="12" t="inlineStr">
        <is>
          <t>Chile</t>
        </is>
      </c>
      <c r="E1027" s="8" t="n"/>
      <c r="F1027" s="8" t="n"/>
      <c r="G1027" s="8">
        <f>IF(OR(ISBLANK(E1027),ISBLANK(F1027)),"",IF(E1027&gt;F1027,"Local",IF(E1027=F1027,"Empate","Visitante")))</f>
        <v/>
      </c>
      <c r="H1027" s="8">
        <f>IF(VLOOKUP(B1027,PARTIDOS!$A:$I,9,FALSE)="Cerrado",IF(G1027=VLOOKUP(B1027,PARTIDOS!$A:$I,8,FALSE),IF(AND(E1027=VLOOKUP(B1027,PARTIDOS!$A:$I,6,FALSE),F1027=VLOOKUP(B1027,PARTIDOS!$A:$I,7,FALSE)),3,1),0),"")</f>
        <v/>
      </c>
    </row>
    <row r="1028" ht="20.1" customHeight="1">
      <c r="A1028" s="12" t="inlineStr">
        <is>
          <t>Jugador 15</t>
        </is>
      </c>
      <c r="B1028" s="8" t="inlineStr">
        <is>
          <t>M19</t>
        </is>
      </c>
      <c r="C1028" s="12" t="inlineStr">
        <is>
          <t>España</t>
        </is>
      </c>
      <c r="D1028" s="12" t="inlineStr">
        <is>
          <t>Francia</t>
        </is>
      </c>
      <c r="E1028" s="8" t="n"/>
      <c r="F1028" s="8" t="n"/>
      <c r="G1028" s="8">
        <f>IF(OR(ISBLANK(E1028),ISBLANK(F1028)),"",IF(E1028&gt;F1028,"Local",IF(E1028=F1028,"Empate","Visitante")))</f>
        <v/>
      </c>
      <c r="H1028" s="8">
        <f>IF(VLOOKUP(B1028,PARTIDOS!$A:$I,9,FALSE)="Cerrado",IF(G1028=VLOOKUP(B1028,PARTIDOS!$A:$I,8,FALSE),IF(AND(E1028=VLOOKUP(B1028,PARTIDOS!$A:$I,6,FALSE),F1028=VLOOKUP(B1028,PARTIDOS!$A:$I,7,FALSE)),3,1),0),"")</f>
        <v/>
      </c>
    </row>
    <row r="1029" ht="20.1" customHeight="1">
      <c r="A1029" s="12" t="inlineStr">
        <is>
          <t>Jugador 15</t>
        </is>
      </c>
      <c r="B1029" s="8" t="inlineStr">
        <is>
          <t>M20</t>
        </is>
      </c>
      <c r="C1029" s="12" t="inlineStr">
        <is>
          <t>Inglaterra</t>
        </is>
      </c>
      <c r="D1029" s="12" t="inlineStr">
        <is>
          <t>Alemania</t>
        </is>
      </c>
      <c r="E1029" s="8" t="n"/>
      <c r="F1029" s="8" t="n"/>
      <c r="G1029" s="8">
        <f>IF(OR(ISBLANK(E1029),ISBLANK(F1029)),"",IF(E1029&gt;F1029,"Local",IF(E1029=F1029,"Empate","Visitante")))</f>
        <v/>
      </c>
      <c r="H1029" s="8">
        <f>IF(VLOOKUP(B1029,PARTIDOS!$A:$I,9,FALSE)="Cerrado",IF(G1029=VLOOKUP(B1029,PARTIDOS!$A:$I,8,FALSE),IF(AND(E1029=VLOOKUP(B1029,PARTIDOS!$A:$I,6,FALSE),F1029=VLOOKUP(B1029,PARTIDOS!$A:$I,7,FALSE)),3,1),0),"")</f>
        <v/>
      </c>
    </row>
    <row r="1030" ht="20.1" customHeight="1">
      <c r="A1030" s="12" t="inlineStr">
        <is>
          <t>Jugador 15</t>
        </is>
      </c>
      <c r="B1030" s="8" t="inlineStr">
        <is>
          <t>M21</t>
        </is>
      </c>
      <c r="C1030" s="12" t="inlineStr">
        <is>
          <t>España</t>
        </is>
      </c>
      <c r="D1030" s="12" t="inlineStr">
        <is>
          <t>Inglaterra</t>
        </is>
      </c>
      <c r="E1030" s="8" t="n"/>
      <c r="F1030" s="8" t="n"/>
      <c r="G1030" s="8">
        <f>IF(OR(ISBLANK(E1030),ISBLANK(F1030)),"",IF(E1030&gt;F1030,"Local",IF(E1030=F1030,"Empate","Visitante")))</f>
        <v/>
      </c>
      <c r="H1030" s="8">
        <f>IF(VLOOKUP(B1030,PARTIDOS!$A:$I,9,FALSE)="Cerrado",IF(G1030=VLOOKUP(B1030,PARTIDOS!$A:$I,8,FALSE),IF(AND(E1030=VLOOKUP(B1030,PARTIDOS!$A:$I,6,FALSE),F1030=VLOOKUP(B1030,PARTIDOS!$A:$I,7,FALSE)),3,1),0),"")</f>
        <v/>
      </c>
    </row>
    <row r="1031" ht="20.1" customHeight="1">
      <c r="A1031" s="12" t="inlineStr">
        <is>
          <t>Jugador 15</t>
        </is>
      </c>
      <c r="B1031" s="8" t="inlineStr">
        <is>
          <t>M22</t>
        </is>
      </c>
      <c r="C1031" s="12" t="inlineStr">
        <is>
          <t>Francia</t>
        </is>
      </c>
      <c r="D1031" s="12" t="inlineStr">
        <is>
          <t>Alemania</t>
        </is>
      </c>
      <c r="E1031" s="8" t="n"/>
      <c r="F1031" s="8" t="n"/>
      <c r="G1031" s="8">
        <f>IF(OR(ISBLANK(E1031),ISBLANK(F1031)),"",IF(E1031&gt;F1031,"Local",IF(E1031=F1031,"Empate","Visitante")))</f>
        <v/>
      </c>
      <c r="H1031" s="8">
        <f>IF(VLOOKUP(B1031,PARTIDOS!$A:$I,9,FALSE)="Cerrado",IF(G1031=VLOOKUP(B1031,PARTIDOS!$A:$I,8,FALSE),IF(AND(E1031=VLOOKUP(B1031,PARTIDOS!$A:$I,6,FALSE),F1031=VLOOKUP(B1031,PARTIDOS!$A:$I,7,FALSE)),3,1),0),"")</f>
        <v/>
      </c>
    </row>
    <row r="1032" ht="20.1" customHeight="1">
      <c r="A1032" s="12" t="inlineStr">
        <is>
          <t>Jugador 15</t>
        </is>
      </c>
      <c r="B1032" s="8" t="inlineStr">
        <is>
          <t>M23</t>
        </is>
      </c>
      <c r="C1032" s="12" t="inlineStr">
        <is>
          <t>España</t>
        </is>
      </c>
      <c r="D1032" s="12" t="inlineStr">
        <is>
          <t>Alemania</t>
        </is>
      </c>
      <c r="E1032" s="8" t="n"/>
      <c r="F1032" s="8" t="n"/>
      <c r="G1032" s="8">
        <f>IF(OR(ISBLANK(E1032),ISBLANK(F1032)),"",IF(E1032&gt;F1032,"Local",IF(E1032=F1032,"Empate","Visitante")))</f>
        <v/>
      </c>
      <c r="H1032" s="8">
        <f>IF(VLOOKUP(B1032,PARTIDOS!$A:$I,9,FALSE)="Cerrado",IF(G1032=VLOOKUP(B1032,PARTIDOS!$A:$I,8,FALSE),IF(AND(E1032=VLOOKUP(B1032,PARTIDOS!$A:$I,6,FALSE),F1032=VLOOKUP(B1032,PARTIDOS!$A:$I,7,FALSE)),3,1),0),"")</f>
        <v/>
      </c>
    </row>
    <row r="1033" ht="20.1" customHeight="1">
      <c r="A1033" s="12" t="inlineStr">
        <is>
          <t>Jugador 15</t>
        </is>
      </c>
      <c r="B1033" s="8" t="inlineStr">
        <is>
          <t>M24</t>
        </is>
      </c>
      <c r="C1033" s="12" t="inlineStr">
        <is>
          <t>Francia</t>
        </is>
      </c>
      <c r="D1033" s="12" t="inlineStr">
        <is>
          <t>Inglaterra</t>
        </is>
      </c>
      <c r="E1033" s="8" t="n"/>
      <c r="F1033" s="8" t="n"/>
      <c r="G1033" s="8">
        <f>IF(OR(ISBLANK(E1033),ISBLANK(F1033)),"",IF(E1033&gt;F1033,"Local",IF(E1033=F1033,"Empate","Visitante")))</f>
        <v/>
      </c>
      <c r="H1033" s="8">
        <f>IF(VLOOKUP(B1033,PARTIDOS!$A:$I,9,FALSE)="Cerrado",IF(G1033=VLOOKUP(B1033,PARTIDOS!$A:$I,8,FALSE),IF(AND(E1033=VLOOKUP(B1033,PARTIDOS!$A:$I,6,FALSE),F1033=VLOOKUP(B1033,PARTIDOS!$A:$I,7,FALSE)),3,1),0),"")</f>
        <v/>
      </c>
    </row>
    <row r="1034" ht="20.1" customHeight="1">
      <c r="A1034" s="12" t="inlineStr">
        <is>
          <t>Jugador 15</t>
        </is>
      </c>
      <c r="B1034" s="8" t="inlineStr">
        <is>
          <t>M25</t>
        </is>
      </c>
      <c r="C1034" s="12" t="inlineStr">
        <is>
          <t>Portugal</t>
        </is>
      </c>
      <c r="D1034" s="12" t="inlineStr">
        <is>
          <t>Bélgica</t>
        </is>
      </c>
      <c r="E1034" s="8" t="n"/>
      <c r="F1034" s="8" t="n"/>
      <c r="G1034" s="8">
        <f>IF(OR(ISBLANK(E1034),ISBLANK(F1034)),"",IF(E1034&gt;F1034,"Local",IF(E1034=F1034,"Empate","Visitante")))</f>
        <v/>
      </c>
      <c r="H1034" s="8">
        <f>IF(VLOOKUP(B1034,PARTIDOS!$A:$I,9,FALSE)="Cerrado",IF(G1034=VLOOKUP(B1034,PARTIDOS!$A:$I,8,FALSE),IF(AND(E1034=VLOOKUP(B1034,PARTIDOS!$A:$I,6,FALSE),F1034=VLOOKUP(B1034,PARTIDOS!$A:$I,7,FALSE)),3,1),0),"")</f>
        <v/>
      </c>
    </row>
    <row r="1035" ht="20.1" customHeight="1">
      <c r="A1035" s="12" t="inlineStr">
        <is>
          <t>Jugador 15</t>
        </is>
      </c>
      <c r="B1035" s="8" t="inlineStr">
        <is>
          <t>M26</t>
        </is>
      </c>
      <c r="C1035" s="12" t="inlineStr">
        <is>
          <t>Países Bajos</t>
        </is>
      </c>
      <c r="D1035" s="12" t="inlineStr">
        <is>
          <t>Italia</t>
        </is>
      </c>
      <c r="E1035" s="8" t="n"/>
      <c r="F1035" s="8" t="n"/>
      <c r="G1035" s="8">
        <f>IF(OR(ISBLANK(E1035),ISBLANK(F1035)),"",IF(E1035&gt;F1035,"Local",IF(E1035=F1035,"Empate","Visitante")))</f>
        <v/>
      </c>
      <c r="H1035" s="8">
        <f>IF(VLOOKUP(B1035,PARTIDOS!$A:$I,9,FALSE)="Cerrado",IF(G1035=VLOOKUP(B1035,PARTIDOS!$A:$I,8,FALSE),IF(AND(E1035=VLOOKUP(B1035,PARTIDOS!$A:$I,6,FALSE),F1035=VLOOKUP(B1035,PARTIDOS!$A:$I,7,FALSE)),3,1),0),"")</f>
        <v/>
      </c>
    </row>
    <row r="1036" ht="20.1" customHeight="1">
      <c r="A1036" s="12" t="inlineStr">
        <is>
          <t>Jugador 15</t>
        </is>
      </c>
      <c r="B1036" s="8" t="inlineStr">
        <is>
          <t>M27</t>
        </is>
      </c>
      <c r="C1036" s="12" t="inlineStr">
        <is>
          <t>Portugal</t>
        </is>
      </c>
      <c r="D1036" s="12" t="inlineStr">
        <is>
          <t>Países Bajos</t>
        </is>
      </c>
      <c r="E1036" s="8" t="n"/>
      <c r="F1036" s="8" t="n"/>
      <c r="G1036" s="8">
        <f>IF(OR(ISBLANK(E1036),ISBLANK(F1036)),"",IF(E1036&gt;F1036,"Local",IF(E1036=F1036,"Empate","Visitante")))</f>
        <v/>
      </c>
      <c r="H1036" s="8">
        <f>IF(VLOOKUP(B1036,PARTIDOS!$A:$I,9,FALSE)="Cerrado",IF(G1036=VLOOKUP(B1036,PARTIDOS!$A:$I,8,FALSE),IF(AND(E1036=VLOOKUP(B1036,PARTIDOS!$A:$I,6,FALSE),F1036=VLOOKUP(B1036,PARTIDOS!$A:$I,7,FALSE)),3,1),0),"")</f>
        <v/>
      </c>
    </row>
    <row r="1037" ht="20.1" customHeight="1">
      <c r="A1037" s="12" t="inlineStr">
        <is>
          <t>Jugador 15</t>
        </is>
      </c>
      <c r="B1037" s="8" t="inlineStr">
        <is>
          <t>M28</t>
        </is>
      </c>
      <c r="C1037" s="12" t="inlineStr">
        <is>
          <t>Bélgica</t>
        </is>
      </c>
      <c r="D1037" s="12" t="inlineStr">
        <is>
          <t>Italia</t>
        </is>
      </c>
      <c r="E1037" s="8" t="n"/>
      <c r="F1037" s="8" t="n"/>
      <c r="G1037" s="8">
        <f>IF(OR(ISBLANK(E1037),ISBLANK(F1037)),"",IF(E1037&gt;F1037,"Local",IF(E1037=F1037,"Empate","Visitante")))</f>
        <v/>
      </c>
      <c r="H1037" s="8">
        <f>IF(VLOOKUP(B1037,PARTIDOS!$A:$I,9,FALSE)="Cerrado",IF(G1037=VLOOKUP(B1037,PARTIDOS!$A:$I,8,FALSE),IF(AND(E1037=VLOOKUP(B1037,PARTIDOS!$A:$I,6,FALSE),F1037=VLOOKUP(B1037,PARTIDOS!$A:$I,7,FALSE)),3,1),0),"")</f>
        <v/>
      </c>
    </row>
    <row r="1038" ht="20.1" customHeight="1">
      <c r="A1038" s="12" t="inlineStr">
        <is>
          <t>Jugador 15</t>
        </is>
      </c>
      <c r="B1038" s="8" t="inlineStr">
        <is>
          <t>M29</t>
        </is>
      </c>
      <c r="C1038" s="12" t="inlineStr">
        <is>
          <t>Portugal</t>
        </is>
      </c>
      <c r="D1038" s="12" t="inlineStr">
        <is>
          <t>Italia</t>
        </is>
      </c>
      <c r="E1038" s="8" t="n"/>
      <c r="F1038" s="8" t="n"/>
      <c r="G1038" s="8">
        <f>IF(OR(ISBLANK(E1038),ISBLANK(F1038)),"",IF(E1038&gt;F1038,"Local",IF(E1038=F1038,"Empate","Visitante")))</f>
        <v/>
      </c>
      <c r="H1038" s="8">
        <f>IF(VLOOKUP(B1038,PARTIDOS!$A:$I,9,FALSE)="Cerrado",IF(G1038=VLOOKUP(B1038,PARTIDOS!$A:$I,8,FALSE),IF(AND(E1038=VLOOKUP(B1038,PARTIDOS!$A:$I,6,FALSE),F1038=VLOOKUP(B1038,PARTIDOS!$A:$I,7,FALSE)),3,1),0),"")</f>
        <v/>
      </c>
    </row>
    <row r="1039" ht="20.1" customHeight="1">
      <c r="A1039" s="12" t="inlineStr">
        <is>
          <t>Jugador 15</t>
        </is>
      </c>
      <c r="B1039" s="8" t="inlineStr">
        <is>
          <t>M30</t>
        </is>
      </c>
      <c r="C1039" s="12" t="inlineStr">
        <is>
          <t>Bélgica</t>
        </is>
      </c>
      <c r="D1039" s="12" t="inlineStr">
        <is>
          <t>Países Bajos</t>
        </is>
      </c>
      <c r="E1039" s="8" t="n"/>
      <c r="F1039" s="8" t="n"/>
      <c r="G1039" s="8">
        <f>IF(OR(ISBLANK(E1039),ISBLANK(F1039)),"",IF(E1039&gt;F1039,"Local",IF(E1039=F1039,"Empate","Visitante")))</f>
        <v/>
      </c>
      <c r="H1039" s="8">
        <f>IF(VLOOKUP(B1039,PARTIDOS!$A:$I,9,FALSE)="Cerrado",IF(G1039=VLOOKUP(B1039,PARTIDOS!$A:$I,8,FALSE),IF(AND(E1039=VLOOKUP(B1039,PARTIDOS!$A:$I,6,FALSE),F1039=VLOOKUP(B1039,PARTIDOS!$A:$I,7,FALSE)),3,1),0),"")</f>
        <v/>
      </c>
    </row>
    <row r="1040" ht="20.1" customHeight="1">
      <c r="A1040" s="12" t="inlineStr">
        <is>
          <t>Jugador 15</t>
        </is>
      </c>
      <c r="B1040" s="8" t="inlineStr">
        <is>
          <t>M31</t>
        </is>
      </c>
      <c r="C1040" s="12" t="inlineStr">
        <is>
          <t>Croacia</t>
        </is>
      </c>
      <c r="D1040" s="12" t="inlineStr">
        <is>
          <t>Suiza</t>
        </is>
      </c>
      <c r="E1040" s="8" t="n"/>
      <c r="F1040" s="8" t="n"/>
      <c r="G1040" s="8">
        <f>IF(OR(ISBLANK(E1040),ISBLANK(F1040)),"",IF(E1040&gt;F1040,"Local",IF(E1040=F1040,"Empate","Visitante")))</f>
        <v/>
      </c>
      <c r="H1040" s="8">
        <f>IF(VLOOKUP(B1040,PARTIDOS!$A:$I,9,FALSE)="Cerrado",IF(G1040=VLOOKUP(B1040,PARTIDOS!$A:$I,8,FALSE),IF(AND(E1040=VLOOKUP(B1040,PARTIDOS!$A:$I,6,FALSE),F1040=VLOOKUP(B1040,PARTIDOS!$A:$I,7,FALSE)),3,1),0),"")</f>
        <v/>
      </c>
    </row>
    <row r="1041" ht="20.1" customHeight="1">
      <c r="A1041" s="12" t="inlineStr">
        <is>
          <t>Jugador 15</t>
        </is>
      </c>
      <c r="B1041" s="8" t="inlineStr">
        <is>
          <t>M32</t>
        </is>
      </c>
      <c r="C1041" s="12" t="inlineStr">
        <is>
          <t>Dinamarca</t>
        </is>
      </c>
      <c r="D1041" s="12" t="inlineStr">
        <is>
          <t>Serbia</t>
        </is>
      </c>
      <c r="E1041" s="8" t="n"/>
      <c r="F1041" s="8" t="n"/>
      <c r="G1041" s="8">
        <f>IF(OR(ISBLANK(E1041),ISBLANK(F1041)),"",IF(E1041&gt;F1041,"Local",IF(E1041=F1041,"Empate","Visitante")))</f>
        <v/>
      </c>
      <c r="H1041" s="8">
        <f>IF(VLOOKUP(B1041,PARTIDOS!$A:$I,9,FALSE)="Cerrado",IF(G1041=VLOOKUP(B1041,PARTIDOS!$A:$I,8,FALSE),IF(AND(E1041=VLOOKUP(B1041,PARTIDOS!$A:$I,6,FALSE),F1041=VLOOKUP(B1041,PARTIDOS!$A:$I,7,FALSE)),3,1),0),"")</f>
        <v/>
      </c>
    </row>
    <row r="1042" ht="20.1" customHeight="1">
      <c r="A1042" s="12" t="inlineStr">
        <is>
          <t>Jugador 15</t>
        </is>
      </c>
      <c r="B1042" s="8" t="inlineStr">
        <is>
          <t>M33</t>
        </is>
      </c>
      <c r="C1042" s="12" t="inlineStr">
        <is>
          <t>Croacia</t>
        </is>
      </c>
      <c r="D1042" s="12" t="inlineStr">
        <is>
          <t>Dinamarca</t>
        </is>
      </c>
      <c r="E1042" s="8" t="n"/>
      <c r="F1042" s="8" t="n"/>
      <c r="G1042" s="8">
        <f>IF(OR(ISBLANK(E1042),ISBLANK(F1042)),"",IF(E1042&gt;F1042,"Local",IF(E1042=F1042,"Empate","Visitante")))</f>
        <v/>
      </c>
      <c r="H1042" s="8">
        <f>IF(VLOOKUP(B1042,PARTIDOS!$A:$I,9,FALSE)="Cerrado",IF(G1042=VLOOKUP(B1042,PARTIDOS!$A:$I,8,FALSE),IF(AND(E1042=VLOOKUP(B1042,PARTIDOS!$A:$I,6,FALSE),F1042=VLOOKUP(B1042,PARTIDOS!$A:$I,7,FALSE)),3,1),0),"")</f>
        <v/>
      </c>
    </row>
    <row r="1043" ht="20.1" customHeight="1">
      <c r="A1043" s="12" t="inlineStr">
        <is>
          <t>Jugador 15</t>
        </is>
      </c>
      <c r="B1043" s="8" t="inlineStr">
        <is>
          <t>M34</t>
        </is>
      </c>
      <c r="C1043" s="12" t="inlineStr">
        <is>
          <t>Suiza</t>
        </is>
      </c>
      <c r="D1043" s="12" t="inlineStr">
        <is>
          <t>Serbia</t>
        </is>
      </c>
      <c r="E1043" s="8" t="n"/>
      <c r="F1043" s="8" t="n"/>
      <c r="G1043" s="8">
        <f>IF(OR(ISBLANK(E1043),ISBLANK(F1043)),"",IF(E1043&gt;F1043,"Local",IF(E1043=F1043,"Empate","Visitante")))</f>
        <v/>
      </c>
      <c r="H1043" s="8">
        <f>IF(VLOOKUP(B1043,PARTIDOS!$A:$I,9,FALSE)="Cerrado",IF(G1043=VLOOKUP(B1043,PARTIDOS!$A:$I,8,FALSE),IF(AND(E1043=VLOOKUP(B1043,PARTIDOS!$A:$I,6,FALSE),F1043=VLOOKUP(B1043,PARTIDOS!$A:$I,7,FALSE)),3,1),0),"")</f>
        <v/>
      </c>
    </row>
    <row r="1044" ht="20.1" customHeight="1">
      <c r="A1044" s="12" t="inlineStr">
        <is>
          <t>Jugador 15</t>
        </is>
      </c>
      <c r="B1044" s="8" t="inlineStr">
        <is>
          <t>M35</t>
        </is>
      </c>
      <c r="C1044" s="12" t="inlineStr">
        <is>
          <t>Croacia</t>
        </is>
      </c>
      <c r="D1044" s="12" t="inlineStr">
        <is>
          <t>Serbia</t>
        </is>
      </c>
      <c r="E1044" s="8" t="n"/>
      <c r="F1044" s="8" t="n"/>
      <c r="G1044" s="8">
        <f>IF(OR(ISBLANK(E1044),ISBLANK(F1044)),"",IF(E1044&gt;F1044,"Local",IF(E1044=F1044,"Empate","Visitante")))</f>
        <v/>
      </c>
      <c r="H1044" s="8">
        <f>IF(VLOOKUP(B1044,PARTIDOS!$A:$I,9,FALSE)="Cerrado",IF(G1044=VLOOKUP(B1044,PARTIDOS!$A:$I,8,FALSE),IF(AND(E1044=VLOOKUP(B1044,PARTIDOS!$A:$I,6,FALSE),F1044=VLOOKUP(B1044,PARTIDOS!$A:$I,7,FALSE)),3,1),0),"")</f>
        <v/>
      </c>
    </row>
    <row r="1045" ht="20.1" customHeight="1">
      <c r="A1045" s="12" t="inlineStr">
        <is>
          <t>Jugador 15</t>
        </is>
      </c>
      <c r="B1045" s="8" t="inlineStr">
        <is>
          <t>M36</t>
        </is>
      </c>
      <c r="C1045" s="12" t="inlineStr">
        <is>
          <t>Suiza</t>
        </is>
      </c>
      <c r="D1045" s="12" t="inlineStr">
        <is>
          <t>Dinamarca</t>
        </is>
      </c>
      <c r="E1045" s="8" t="n"/>
      <c r="F1045" s="8" t="n"/>
      <c r="G1045" s="8">
        <f>IF(OR(ISBLANK(E1045),ISBLANK(F1045)),"",IF(E1045&gt;F1045,"Local",IF(E1045=F1045,"Empate","Visitante")))</f>
        <v/>
      </c>
      <c r="H1045" s="8">
        <f>IF(VLOOKUP(B1045,PARTIDOS!$A:$I,9,FALSE)="Cerrado",IF(G1045=VLOOKUP(B1045,PARTIDOS!$A:$I,8,FALSE),IF(AND(E1045=VLOOKUP(B1045,PARTIDOS!$A:$I,6,FALSE),F1045=VLOOKUP(B1045,PARTIDOS!$A:$I,7,FALSE)),3,1),0),"")</f>
        <v/>
      </c>
    </row>
    <row r="1046" ht="20.1" customHeight="1">
      <c r="A1046" s="12" t="inlineStr">
        <is>
          <t>Jugador 15</t>
        </is>
      </c>
      <c r="B1046" s="8" t="inlineStr">
        <is>
          <t>M37</t>
        </is>
      </c>
      <c r="C1046" s="12" t="inlineStr">
        <is>
          <t>Polonia</t>
        </is>
      </c>
      <c r="D1046" s="12" t="inlineStr">
        <is>
          <t>Ucrania</t>
        </is>
      </c>
      <c r="E1046" s="8" t="n"/>
      <c r="F1046" s="8" t="n"/>
      <c r="G1046" s="8">
        <f>IF(OR(ISBLANK(E1046),ISBLANK(F1046)),"",IF(E1046&gt;F1046,"Local",IF(E1046=F1046,"Empate","Visitante")))</f>
        <v/>
      </c>
      <c r="H1046" s="8">
        <f>IF(VLOOKUP(B1046,PARTIDOS!$A:$I,9,FALSE)="Cerrado",IF(G1046=VLOOKUP(B1046,PARTIDOS!$A:$I,8,FALSE),IF(AND(E1046=VLOOKUP(B1046,PARTIDOS!$A:$I,6,FALSE),F1046=VLOOKUP(B1046,PARTIDOS!$A:$I,7,FALSE)),3,1),0),"")</f>
        <v/>
      </c>
    </row>
    <row r="1047" ht="20.1" customHeight="1">
      <c r="A1047" s="12" t="inlineStr">
        <is>
          <t>Jugador 15</t>
        </is>
      </c>
      <c r="B1047" s="8" t="inlineStr">
        <is>
          <t>M38</t>
        </is>
      </c>
      <c r="C1047" s="12" t="inlineStr">
        <is>
          <t>Suecia</t>
        </is>
      </c>
      <c r="D1047" s="12" t="inlineStr">
        <is>
          <t>Gales</t>
        </is>
      </c>
      <c r="E1047" s="8" t="n"/>
      <c r="F1047" s="8" t="n"/>
      <c r="G1047" s="8">
        <f>IF(OR(ISBLANK(E1047),ISBLANK(F1047)),"",IF(E1047&gt;F1047,"Local",IF(E1047=F1047,"Empate","Visitante")))</f>
        <v/>
      </c>
      <c r="H1047" s="8">
        <f>IF(VLOOKUP(B1047,PARTIDOS!$A:$I,9,FALSE)="Cerrado",IF(G1047=VLOOKUP(B1047,PARTIDOS!$A:$I,8,FALSE),IF(AND(E1047=VLOOKUP(B1047,PARTIDOS!$A:$I,6,FALSE),F1047=VLOOKUP(B1047,PARTIDOS!$A:$I,7,FALSE)),3,1),0),"")</f>
        <v/>
      </c>
    </row>
    <row r="1048" ht="20.1" customHeight="1">
      <c r="A1048" s="12" t="inlineStr">
        <is>
          <t>Jugador 15</t>
        </is>
      </c>
      <c r="B1048" s="8" t="inlineStr">
        <is>
          <t>M39</t>
        </is>
      </c>
      <c r="C1048" s="12" t="inlineStr">
        <is>
          <t>Polonia</t>
        </is>
      </c>
      <c r="D1048" s="12" t="inlineStr">
        <is>
          <t>Suecia</t>
        </is>
      </c>
      <c r="E1048" s="8" t="n"/>
      <c r="F1048" s="8" t="n"/>
      <c r="G1048" s="8">
        <f>IF(OR(ISBLANK(E1048),ISBLANK(F1048)),"",IF(E1048&gt;F1048,"Local",IF(E1048=F1048,"Empate","Visitante")))</f>
        <v/>
      </c>
      <c r="H1048" s="8">
        <f>IF(VLOOKUP(B1048,PARTIDOS!$A:$I,9,FALSE)="Cerrado",IF(G1048=VLOOKUP(B1048,PARTIDOS!$A:$I,8,FALSE),IF(AND(E1048=VLOOKUP(B1048,PARTIDOS!$A:$I,6,FALSE),F1048=VLOOKUP(B1048,PARTIDOS!$A:$I,7,FALSE)),3,1),0),"")</f>
        <v/>
      </c>
    </row>
    <row r="1049" ht="20.1" customHeight="1">
      <c r="A1049" s="12" t="inlineStr">
        <is>
          <t>Jugador 15</t>
        </is>
      </c>
      <c r="B1049" s="8" t="inlineStr">
        <is>
          <t>M40</t>
        </is>
      </c>
      <c r="C1049" s="12" t="inlineStr">
        <is>
          <t>Ucrania</t>
        </is>
      </c>
      <c r="D1049" s="12" t="inlineStr">
        <is>
          <t>Gales</t>
        </is>
      </c>
      <c r="E1049" s="8" t="n"/>
      <c r="F1049" s="8" t="n"/>
      <c r="G1049" s="8">
        <f>IF(OR(ISBLANK(E1049),ISBLANK(F1049)),"",IF(E1049&gt;F1049,"Local",IF(E1049=F1049,"Empate","Visitante")))</f>
        <v/>
      </c>
      <c r="H1049" s="8">
        <f>IF(VLOOKUP(B1049,PARTIDOS!$A:$I,9,FALSE)="Cerrado",IF(G1049=VLOOKUP(B1049,PARTIDOS!$A:$I,8,FALSE),IF(AND(E1049=VLOOKUP(B1049,PARTIDOS!$A:$I,6,FALSE),F1049=VLOOKUP(B1049,PARTIDOS!$A:$I,7,FALSE)),3,1),0),"")</f>
        <v/>
      </c>
    </row>
    <row r="1050" ht="20.1" customHeight="1">
      <c r="A1050" s="12" t="inlineStr">
        <is>
          <t>Jugador 15</t>
        </is>
      </c>
      <c r="B1050" s="8" t="inlineStr">
        <is>
          <t>M41</t>
        </is>
      </c>
      <c r="C1050" s="12" t="inlineStr">
        <is>
          <t>Polonia</t>
        </is>
      </c>
      <c r="D1050" s="12" t="inlineStr">
        <is>
          <t>Gales</t>
        </is>
      </c>
      <c r="E1050" s="8" t="n"/>
      <c r="F1050" s="8" t="n"/>
      <c r="G1050" s="8">
        <f>IF(OR(ISBLANK(E1050),ISBLANK(F1050)),"",IF(E1050&gt;F1050,"Local",IF(E1050=F1050,"Empate","Visitante")))</f>
        <v/>
      </c>
      <c r="H1050" s="8">
        <f>IF(VLOOKUP(B1050,PARTIDOS!$A:$I,9,FALSE)="Cerrado",IF(G1050=VLOOKUP(B1050,PARTIDOS!$A:$I,8,FALSE),IF(AND(E1050=VLOOKUP(B1050,PARTIDOS!$A:$I,6,FALSE),F1050=VLOOKUP(B1050,PARTIDOS!$A:$I,7,FALSE)),3,1),0),"")</f>
        <v/>
      </c>
    </row>
    <row r="1051" ht="20.1" customHeight="1">
      <c r="A1051" s="12" t="inlineStr">
        <is>
          <t>Jugador 15</t>
        </is>
      </c>
      <c r="B1051" s="8" t="inlineStr">
        <is>
          <t>M42</t>
        </is>
      </c>
      <c r="C1051" s="12" t="inlineStr">
        <is>
          <t>Ucrania</t>
        </is>
      </c>
      <c r="D1051" s="12" t="inlineStr">
        <is>
          <t>Suecia</t>
        </is>
      </c>
      <c r="E1051" s="8" t="n"/>
      <c r="F1051" s="8" t="n"/>
      <c r="G1051" s="8">
        <f>IF(OR(ISBLANK(E1051),ISBLANK(F1051)),"",IF(E1051&gt;F1051,"Local",IF(E1051=F1051,"Empate","Visitante")))</f>
        <v/>
      </c>
      <c r="H1051" s="8">
        <f>IF(VLOOKUP(B1051,PARTIDOS!$A:$I,9,FALSE)="Cerrado",IF(G1051=VLOOKUP(B1051,PARTIDOS!$A:$I,8,FALSE),IF(AND(E1051=VLOOKUP(B1051,PARTIDOS!$A:$I,6,FALSE),F1051=VLOOKUP(B1051,PARTIDOS!$A:$I,7,FALSE)),3,1),0),"")</f>
        <v/>
      </c>
    </row>
    <row r="1052" ht="20.1" customHeight="1">
      <c r="A1052" s="12" t="inlineStr">
        <is>
          <t>Jugador 15</t>
        </is>
      </c>
      <c r="B1052" s="8" t="inlineStr">
        <is>
          <t>M43</t>
        </is>
      </c>
      <c r="C1052" s="12" t="inlineStr">
        <is>
          <t>Austria</t>
        </is>
      </c>
      <c r="D1052" s="12" t="inlineStr">
        <is>
          <t>Hungría</t>
        </is>
      </c>
      <c r="E1052" s="8" t="n"/>
      <c r="F1052" s="8" t="n"/>
      <c r="G1052" s="8">
        <f>IF(OR(ISBLANK(E1052),ISBLANK(F1052)),"",IF(E1052&gt;F1052,"Local",IF(E1052=F1052,"Empate","Visitante")))</f>
        <v/>
      </c>
      <c r="H1052" s="8">
        <f>IF(VLOOKUP(B1052,PARTIDOS!$A:$I,9,FALSE)="Cerrado",IF(G1052=VLOOKUP(B1052,PARTIDOS!$A:$I,8,FALSE),IF(AND(E1052=VLOOKUP(B1052,PARTIDOS!$A:$I,6,FALSE),F1052=VLOOKUP(B1052,PARTIDOS!$A:$I,7,FALSE)),3,1),0),"")</f>
        <v/>
      </c>
    </row>
    <row r="1053" ht="20.1" customHeight="1">
      <c r="A1053" s="12" t="inlineStr">
        <is>
          <t>Jugador 15</t>
        </is>
      </c>
      <c r="B1053" s="8" t="inlineStr">
        <is>
          <t>M44</t>
        </is>
      </c>
      <c r="C1053" s="12" t="inlineStr">
        <is>
          <t>Turquía</t>
        </is>
      </c>
      <c r="D1053" s="12" t="inlineStr">
        <is>
          <t>Escocia</t>
        </is>
      </c>
      <c r="E1053" s="8" t="n"/>
      <c r="F1053" s="8" t="n"/>
      <c r="G1053" s="8">
        <f>IF(OR(ISBLANK(E1053),ISBLANK(F1053)),"",IF(E1053&gt;F1053,"Local",IF(E1053=F1053,"Empate","Visitante")))</f>
        <v/>
      </c>
      <c r="H1053" s="8">
        <f>IF(VLOOKUP(B1053,PARTIDOS!$A:$I,9,FALSE)="Cerrado",IF(G1053=VLOOKUP(B1053,PARTIDOS!$A:$I,8,FALSE),IF(AND(E1053=VLOOKUP(B1053,PARTIDOS!$A:$I,6,FALSE),F1053=VLOOKUP(B1053,PARTIDOS!$A:$I,7,FALSE)),3,1),0),"")</f>
        <v/>
      </c>
    </row>
    <row r="1054" ht="20.1" customHeight="1">
      <c r="A1054" s="12" t="inlineStr">
        <is>
          <t>Jugador 15</t>
        </is>
      </c>
      <c r="B1054" s="8" t="inlineStr">
        <is>
          <t>M45</t>
        </is>
      </c>
      <c r="C1054" s="12" t="inlineStr">
        <is>
          <t>Austria</t>
        </is>
      </c>
      <c r="D1054" s="12" t="inlineStr">
        <is>
          <t>Turquía</t>
        </is>
      </c>
      <c r="E1054" s="8" t="n"/>
      <c r="F1054" s="8" t="n"/>
      <c r="G1054" s="8">
        <f>IF(OR(ISBLANK(E1054),ISBLANK(F1054)),"",IF(E1054&gt;F1054,"Local",IF(E1054=F1054,"Empate","Visitante")))</f>
        <v/>
      </c>
      <c r="H1054" s="8">
        <f>IF(VLOOKUP(B1054,PARTIDOS!$A:$I,9,FALSE)="Cerrado",IF(G1054=VLOOKUP(B1054,PARTIDOS!$A:$I,8,FALSE),IF(AND(E1054=VLOOKUP(B1054,PARTIDOS!$A:$I,6,FALSE),F1054=VLOOKUP(B1054,PARTIDOS!$A:$I,7,FALSE)),3,1),0),"")</f>
        <v/>
      </c>
    </row>
    <row r="1055" ht="20.1" customHeight="1">
      <c r="A1055" s="12" t="inlineStr">
        <is>
          <t>Jugador 15</t>
        </is>
      </c>
      <c r="B1055" s="8" t="inlineStr">
        <is>
          <t>M46</t>
        </is>
      </c>
      <c r="C1055" s="12" t="inlineStr">
        <is>
          <t>Hungría</t>
        </is>
      </c>
      <c r="D1055" s="12" t="inlineStr">
        <is>
          <t>Escocia</t>
        </is>
      </c>
      <c r="E1055" s="8" t="n"/>
      <c r="F1055" s="8" t="n"/>
      <c r="G1055" s="8">
        <f>IF(OR(ISBLANK(E1055),ISBLANK(F1055)),"",IF(E1055&gt;F1055,"Local",IF(E1055=F1055,"Empate","Visitante")))</f>
        <v/>
      </c>
      <c r="H1055" s="8">
        <f>IF(VLOOKUP(B1055,PARTIDOS!$A:$I,9,FALSE)="Cerrado",IF(G1055=VLOOKUP(B1055,PARTIDOS!$A:$I,8,FALSE),IF(AND(E1055=VLOOKUP(B1055,PARTIDOS!$A:$I,6,FALSE),F1055=VLOOKUP(B1055,PARTIDOS!$A:$I,7,FALSE)),3,1),0),"")</f>
        <v/>
      </c>
    </row>
    <row r="1056" ht="20.1" customHeight="1">
      <c r="A1056" s="12" t="inlineStr">
        <is>
          <t>Jugador 15</t>
        </is>
      </c>
      <c r="B1056" s="8" t="inlineStr">
        <is>
          <t>M47</t>
        </is>
      </c>
      <c r="C1056" s="12" t="inlineStr">
        <is>
          <t>Austria</t>
        </is>
      </c>
      <c r="D1056" s="12" t="inlineStr">
        <is>
          <t>Escocia</t>
        </is>
      </c>
      <c r="E1056" s="8" t="n"/>
      <c r="F1056" s="8" t="n"/>
      <c r="G1056" s="8">
        <f>IF(OR(ISBLANK(E1056),ISBLANK(F1056)),"",IF(E1056&gt;F1056,"Local",IF(E1056=F1056,"Empate","Visitante")))</f>
        <v/>
      </c>
      <c r="H1056" s="8">
        <f>IF(VLOOKUP(B1056,PARTIDOS!$A:$I,9,FALSE)="Cerrado",IF(G1056=VLOOKUP(B1056,PARTIDOS!$A:$I,8,FALSE),IF(AND(E1056=VLOOKUP(B1056,PARTIDOS!$A:$I,6,FALSE),F1056=VLOOKUP(B1056,PARTIDOS!$A:$I,7,FALSE)),3,1),0),"")</f>
        <v/>
      </c>
    </row>
    <row r="1057" ht="20.1" customHeight="1">
      <c r="A1057" s="12" t="inlineStr">
        <is>
          <t>Jugador 15</t>
        </is>
      </c>
      <c r="B1057" s="8" t="inlineStr">
        <is>
          <t>M48</t>
        </is>
      </c>
      <c r="C1057" s="12" t="inlineStr">
        <is>
          <t>Hungría</t>
        </is>
      </c>
      <c r="D1057" s="12" t="inlineStr">
        <is>
          <t>Turquía</t>
        </is>
      </c>
      <c r="E1057" s="8" t="n"/>
      <c r="F1057" s="8" t="n"/>
      <c r="G1057" s="8">
        <f>IF(OR(ISBLANK(E1057),ISBLANK(F1057)),"",IF(E1057&gt;F1057,"Local",IF(E1057=F1057,"Empate","Visitante")))</f>
        <v/>
      </c>
      <c r="H1057" s="8">
        <f>IF(VLOOKUP(B1057,PARTIDOS!$A:$I,9,FALSE)="Cerrado",IF(G1057=VLOOKUP(B1057,PARTIDOS!$A:$I,8,FALSE),IF(AND(E1057=VLOOKUP(B1057,PARTIDOS!$A:$I,6,FALSE),F1057=VLOOKUP(B1057,PARTIDOS!$A:$I,7,FALSE)),3,1),0),"")</f>
        <v/>
      </c>
    </row>
    <row r="1058" ht="20.1" customHeight="1">
      <c r="A1058" s="12" t="inlineStr">
        <is>
          <t>Jugador 15</t>
        </is>
      </c>
      <c r="B1058" s="8" t="inlineStr">
        <is>
          <t>M49</t>
        </is>
      </c>
      <c r="C1058" s="12" t="inlineStr">
        <is>
          <t>República Checa</t>
        </is>
      </c>
      <c r="D1058" s="12" t="inlineStr">
        <is>
          <t>Noruega</t>
        </is>
      </c>
      <c r="E1058" s="8" t="n"/>
      <c r="F1058" s="8" t="n"/>
      <c r="G1058" s="8">
        <f>IF(OR(ISBLANK(E1058),ISBLANK(F1058)),"",IF(E1058&gt;F1058,"Local",IF(E1058=F1058,"Empate","Visitante")))</f>
        <v/>
      </c>
      <c r="H1058" s="8">
        <f>IF(VLOOKUP(B1058,PARTIDOS!$A:$I,9,FALSE)="Cerrado",IF(G1058=VLOOKUP(B1058,PARTIDOS!$A:$I,8,FALSE),IF(AND(E1058=VLOOKUP(B1058,PARTIDOS!$A:$I,6,FALSE),F1058=VLOOKUP(B1058,PARTIDOS!$A:$I,7,FALSE)),3,1),0),"")</f>
        <v/>
      </c>
    </row>
    <row r="1059" ht="20.1" customHeight="1">
      <c r="A1059" s="12" t="inlineStr">
        <is>
          <t>Jugador 15</t>
        </is>
      </c>
      <c r="B1059" s="8" t="inlineStr">
        <is>
          <t>M50</t>
        </is>
      </c>
      <c r="C1059" s="12" t="inlineStr">
        <is>
          <t>Japón</t>
        </is>
      </c>
      <c r="D1059" s="12" t="inlineStr">
        <is>
          <t>Irán</t>
        </is>
      </c>
      <c r="E1059" s="8" t="n"/>
      <c r="F1059" s="8" t="n"/>
      <c r="G1059" s="8">
        <f>IF(OR(ISBLANK(E1059),ISBLANK(F1059)),"",IF(E1059&gt;F1059,"Local",IF(E1059=F1059,"Empate","Visitante")))</f>
        <v/>
      </c>
      <c r="H1059" s="8">
        <f>IF(VLOOKUP(B1059,PARTIDOS!$A:$I,9,FALSE)="Cerrado",IF(G1059=VLOOKUP(B1059,PARTIDOS!$A:$I,8,FALSE),IF(AND(E1059=VLOOKUP(B1059,PARTIDOS!$A:$I,6,FALSE),F1059=VLOOKUP(B1059,PARTIDOS!$A:$I,7,FALSE)),3,1),0),"")</f>
        <v/>
      </c>
    </row>
    <row r="1060" ht="20.1" customHeight="1">
      <c r="A1060" s="12" t="inlineStr">
        <is>
          <t>Jugador 15</t>
        </is>
      </c>
      <c r="B1060" s="8" t="inlineStr">
        <is>
          <t>M51</t>
        </is>
      </c>
      <c r="C1060" s="12" t="inlineStr">
        <is>
          <t>República Checa</t>
        </is>
      </c>
      <c r="D1060" s="12" t="inlineStr">
        <is>
          <t>Japón</t>
        </is>
      </c>
      <c r="E1060" s="8" t="n"/>
      <c r="F1060" s="8" t="n"/>
      <c r="G1060" s="8">
        <f>IF(OR(ISBLANK(E1060),ISBLANK(F1060)),"",IF(E1060&gt;F1060,"Local",IF(E1060=F1060,"Empate","Visitante")))</f>
        <v/>
      </c>
      <c r="H1060" s="8">
        <f>IF(VLOOKUP(B1060,PARTIDOS!$A:$I,9,FALSE)="Cerrado",IF(G1060=VLOOKUP(B1060,PARTIDOS!$A:$I,8,FALSE),IF(AND(E1060=VLOOKUP(B1060,PARTIDOS!$A:$I,6,FALSE),F1060=VLOOKUP(B1060,PARTIDOS!$A:$I,7,FALSE)),3,1),0),"")</f>
        <v/>
      </c>
    </row>
    <row r="1061" ht="20.1" customHeight="1">
      <c r="A1061" s="12" t="inlineStr">
        <is>
          <t>Jugador 15</t>
        </is>
      </c>
      <c r="B1061" s="8" t="inlineStr">
        <is>
          <t>M52</t>
        </is>
      </c>
      <c r="C1061" s="12" t="inlineStr">
        <is>
          <t>Noruega</t>
        </is>
      </c>
      <c r="D1061" s="12" t="inlineStr">
        <is>
          <t>Irán</t>
        </is>
      </c>
      <c r="E1061" s="8" t="n"/>
      <c r="F1061" s="8" t="n"/>
      <c r="G1061" s="8">
        <f>IF(OR(ISBLANK(E1061),ISBLANK(F1061)),"",IF(E1061&gt;F1061,"Local",IF(E1061=F1061,"Empate","Visitante")))</f>
        <v/>
      </c>
      <c r="H1061" s="8">
        <f>IF(VLOOKUP(B1061,PARTIDOS!$A:$I,9,FALSE)="Cerrado",IF(G1061=VLOOKUP(B1061,PARTIDOS!$A:$I,8,FALSE),IF(AND(E1061=VLOOKUP(B1061,PARTIDOS!$A:$I,6,FALSE),F1061=VLOOKUP(B1061,PARTIDOS!$A:$I,7,FALSE)),3,1),0),"")</f>
        <v/>
      </c>
    </row>
    <row r="1062" ht="20.1" customHeight="1">
      <c r="A1062" s="12" t="inlineStr">
        <is>
          <t>Jugador 15</t>
        </is>
      </c>
      <c r="B1062" s="8" t="inlineStr">
        <is>
          <t>M53</t>
        </is>
      </c>
      <c r="C1062" s="12" t="inlineStr">
        <is>
          <t>República Checa</t>
        </is>
      </c>
      <c r="D1062" s="12" t="inlineStr">
        <is>
          <t>Irán</t>
        </is>
      </c>
      <c r="E1062" s="8" t="n"/>
      <c r="F1062" s="8" t="n"/>
      <c r="G1062" s="8">
        <f>IF(OR(ISBLANK(E1062),ISBLANK(F1062)),"",IF(E1062&gt;F1062,"Local",IF(E1062=F1062,"Empate","Visitante")))</f>
        <v/>
      </c>
      <c r="H1062" s="8">
        <f>IF(VLOOKUP(B1062,PARTIDOS!$A:$I,9,FALSE)="Cerrado",IF(G1062=VLOOKUP(B1062,PARTIDOS!$A:$I,8,FALSE),IF(AND(E1062=VLOOKUP(B1062,PARTIDOS!$A:$I,6,FALSE),F1062=VLOOKUP(B1062,PARTIDOS!$A:$I,7,FALSE)),3,1),0),"")</f>
        <v/>
      </c>
    </row>
    <row r="1063" ht="20.1" customHeight="1">
      <c r="A1063" s="12" t="inlineStr">
        <is>
          <t>Jugador 15</t>
        </is>
      </c>
      <c r="B1063" s="8" t="inlineStr">
        <is>
          <t>M54</t>
        </is>
      </c>
      <c r="C1063" s="12" t="inlineStr">
        <is>
          <t>Noruega</t>
        </is>
      </c>
      <c r="D1063" s="12" t="inlineStr">
        <is>
          <t>Japón</t>
        </is>
      </c>
      <c r="E1063" s="8" t="n"/>
      <c r="F1063" s="8" t="n"/>
      <c r="G1063" s="8">
        <f>IF(OR(ISBLANK(E1063),ISBLANK(F1063)),"",IF(E1063&gt;F1063,"Local",IF(E1063=F1063,"Empate","Visitante")))</f>
        <v/>
      </c>
      <c r="H1063" s="8">
        <f>IF(VLOOKUP(B1063,PARTIDOS!$A:$I,9,FALSE)="Cerrado",IF(G1063=VLOOKUP(B1063,PARTIDOS!$A:$I,8,FALSE),IF(AND(E1063=VLOOKUP(B1063,PARTIDOS!$A:$I,6,FALSE),F1063=VLOOKUP(B1063,PARTIDOS!$A:$I,7,FALSE)),3,1),0),"")</f>
        <v/>
      </c>
    </row>
    <row r="1064" ht="20.1" customHeight="1">
      <c r="A1064" s="12" t="inlineStr">
        <is>
          <t>Jugador 15</t>
        </is>
      </c>
      <c r="B1064" s="8" t="inlineStr">
        <is>
          <t>M55</t>
        </is>
      </c>
      <c r="C1064" s="12" t="inlineStr">
        <is>
          <t>Corea del Sur</t>
        </is>
      </c>
      <c r="D1064" s="12" t="inlineStr">
        <is>
          <t>Australia</t>
        </is>
      </c>
      <c r="E1064" s="8" t="n"/>
      <c r="F1064" s="8" t="n"/>
      <c r="G1064" s="8">
        <f>IF(OR(ISBLANK(E1064),ISBLANK(F1064)),"",IF(E1064&gt;F1064,"Local",IF(E1064=F1064,"Empate","Visitante")))</f>
        <v/>
      </c>
      <c r="H1064" s="8">
        <f>IF(VLOOKUP(B1064,PARTIDOS!$A:$I,9,FALSE)="Cerrado",IF(G1064=VLOOKUP(B1064,PARTIDOS!$A:$I,8,FALSE),IF(AND(E1064=VLOOKUP(B1064,PARTIDOS!$A:$I,6,FALSE),F1064=VLOOKUP(B1064,PARTIDOS!$A:$I,7,FALSE)),3,1),0),"")</f>
        <v/>
      </c>
    </row>
    <row r="1065" ht="20.1" customHeight="1">
      <c r="A1065" s="12" t="inlineStr">
        <is>
          <t>Jugador 15</t>
        </is>
      </c>
      <c r="B1065" s="8" t="inlineStr">
        <is>
          <t>M56</t>
        </is>
      </c>
      <c r="C1065" s="12" t="inlineStr">
        <is>
          <t>Marruecos</t>
        </is>
      </c>
      <c r="D1065" s="12" t="inlineStr">
        <is>
          <t>Senegal</t>
        </is>
      </c>
      <c r="E1065" s="8" t="n"/>
      <c r="F1065" s="8" t="n"/>
      <c r="G1065" s="8">
        <f>IF(OR(ISBLANK(E1065),ISBLANK(F1065)),"",IF(E1065&gt;F1065,"Local",IF(E1065=F1065,"Empate","Visitante")))</f>
        <v/>
      </c>
      <c r="H1065" s="8">
        <f>IF(VLOOKUP(B1065,PARTIDOS!$A:$I,9,FALSE)="Cerrado",IF(G1065=VLOOKUP(B1065,PARTIDOS!$A:$I,8,FALSE),IF(AND(E1065=VLOOKUP(B1065,PARTIDOS!$A:$I,6,FALSE),F1065=VLOOKUP(B1065,PARTIDOS!$A:$I,7,FALSE)),3,1),0),"")</f>
        <v/>
      </c>
    </row>
    <row r="1066" ht="20.1" customHeight="1">
      <c r="A1066" s="12" t="inlineStr">
        <is>
          <t>Jugador 15</t>
        </is>
      </c>
      <c r="B1066" s="8" t="inlineStr">
        <is>
          <t>M57</t>
        </is>
      </c>
      <c r="C1066" s="12" t="inlineStr">
        <is>
          <t>Corea del Sur</t>
        </is>
      </c>
      <c r="D1066" s="12" t="inlineStr">
        <is>
          <t>Marruecos</t>
        </is>
      </c>
      <c r="E1066" s="8" t="n"/>
      <c r="F1066" s="8" t="n"/>
      <c r="G1066" s="8">
        <f>IF(OR(ISBLANK(E1066),ISBLANK(F1066)),"",IF(E1066&gt;F1066,"Local",IF(E1066=F1066,"Empate","Visitante")))</f>
        <v/>
      </c>
      <c r="H1066" s="8">
        <f>IF(VLOOKUP(B1066,PARTIDOS!$A:$I,9,FALSE)="Cerrado",IF(G1066=VLOOKUP(B1066,PARTIDOS!$A:$I,8,FALSE),IF(AND(E1066=VLOOKUP(B1066,PARTIDOS!$A:$I,6,FALSE),F1066=VLOOKUP(B1066,PARTIDOS!$A:$I,7,FALSE)),3,1),0),"")</f>
        <v/>
      </c>
    </row>
    <row r="1067" ht="20.1" customHeight="1">
      <c r="A1067" s="12" t="inlineStr">
        <is>
          <t>Jugador 15</t>
        </is>
      </c>
      <c r="B1067" s="8" t="inlineStr">
        <is>
          <t>M58</t>
        </is>
      </c>
      <c r="C1067" s="12" t="inlineStr">
        <is>
          <t>Australia</t>
        </is>
      </c>
      <c r="D1067" s="12" t="inlineStr">
        <is>
          <t>Senegal</t>
        </is>
      </c>
      <c r="E1067" s="8" t="n"/>
      <c r="F1067" s="8" t="n"/>
      <c r="G1067" s="8">
        <f>IF(OR(ISBLANK(E1067),ISBLANK(F1067)),"",IF(E1067&gt;F1067,"Local",IF(E1067=F1067,"Empate","Visitante")))</f>
        <v/>
      </c>
      <c r="H1067" s="8">
        <f>IF(VLOOKUP(B1067,PARTIDOS!$A:$I,9,FALSE)="Cerrado",IF(G1067=VLOOKUP(B1067,PARTIDOS!$A:$I,8,FALSE),IF(AND(E1067=VLOOKUP(B1067,PARTIDOS!$A:$I,6,FALSE),F1067=VLOOKUP(B1067,PARTIDOS!$A:$I,7,FALSE)),3,1),0),"")</f>
        <v/>
      </c>
    </row>
    <row r="1068" ht="20.1" customHeight="1">
      <c r="A1068" s="12" t="inlineStr">
        <is>
          <t>Jugador 15</t>
        </is>
      </c>
      <c r="B1068" s="8" t="inlineStr">
        <is>
          <t>M59</t>
        </is>
      </c>
      <c r="C1068" s="12" t="inlineStr">
        <is>
          <t>Corea del Sur</t>
        </is>
      </c>
      <c r="D1068" s="12" t="inlineStr">
        <is>
          <t>Senegal</t>
        </is>
      </c>
      <c r="E1068" s="8" t="n"/>
      <c r="F1068" s="8" t="n"/>
      <c r="G1068" s="8">
        <f>IF(OR(ISBLANK(E1068),ISBLANK(F1068)),"",IF(E1068&gt;F1068,"Local",IF(E1068=F1068,"Empate","Visitante")))</f>
        <v/>
      </c>
      <c r="H1068" s="8">
        <f>IF(VLOOKUP(B1068,PARTIDOS!$A:$I,9,FALSE)="Cerrado",IF(G1068=VLOOKUP(B1068,PARTIDOS!$A:$I,8,FALSE),IF(AND(E1068=VLOOKUP(B1068,PARTIDOS!$A:$I,6,FALSE),F1068=VLOOKUP(B1068,PARTIDOS!$A:$I,7,FALSE)),3,1),0),"")</f>
        <v/>
      </c>
    </row>
    <row r="1069" ht="20.1" customHeight="1">
      <c r="A1069" s="12" t="inlineStr">
        <is>
          <t>Jugador 15</t>
        </is>
      </c>
      <c r="B1069" s="8" t="inlineStr">
        <is>
          <t>M60</t>
        </is>
      </c>
      <c r="C1069" s="12" t="inlineStr">
        <is>
          <t>Australia</t>
        </is>
      </c>
      <c r="D1069" s="12" t="inlineStr">
        <is>
          <t>Marruecos</t>
        </is>
      </c>
      <c r="E1069" s="8" t="n"/>
      <c r="F1069" s="8" t="n"/>
      <c r="G1069" s="8">
        <f>IF(OR(ISBLANK(E1069),ISBLANK(F1069)),"",IF(E1069&gt;F1069,"Local",IF(E1069=F1069,"Empate","Visitante")))</f>
        <v/>
      </c>
      <c r="H1069" s="8">
        <f>IF(VLOOKUP(B1069,PARTIDOS!$A:$I,9,FALSE)="Cerrado",IF(G1069=VLOOKUP(B1069,PARTIDOS!$A:$I,8,FALSE),IF(AND(E1069=VLOOKUP(B1069,PARTIDOS!$A:$I,6,FALSE),F1069=VLOOKUP(B1069,PARTIDOS!$A:$I,7,FALSE)),3,1),0),"")</f>
        <v/>
      </c>
    </row>
    <row r="1070" ht="20.1" customHeight="1">
      <c r="A1070" s="12" t="inlineStr">
        <is>
          <t>Jugador 15</t>
        </is>
      </c>
      <c r="B1070" s="8" t="inlineStr">
        <is>
          <t>M61</t>
        </is>
      </c>
      <c r="C1070" s="12" t="inlineStr">
        <is>
          <t>Túnez</t>
        </is>
      </c>
      <c r="D1070" s="12" t="inlineStr">
        <is>
          <t>Nigeria</t>
        </is>
      </c>
      <c r="E1070" s="8" t="n"/>
      <c r="F1070" s="8" t="n"/>
      <c r="G1070" s="8">
        <f>IF(OR(ISBLANK(E1070),ISBLANK(F1070)),"",IF(E1070&gt;F1070,"Local",IF(E1070=F1070,"Empate","Visitante")))</f>
        <v/>
      </c>
      <c r="H1070" s="8">
        <f>IF(VLOOKUP(B1070,PARTIDOS!$A:$I,9,FALSE)="Cerrado",IF(G1070=VLOOKUP(B1070,PARTIDOS!$A:$I,8,FALSE),IF(AND(E1070=VLOOKUP(B1070,PARTIDOS!$A:$I,6,FALSE),F1070=VLOOKUP(B1070,PARTIDOS!$A:$I,7,FALSE)),3,1),0),"")</f>
        <v/>
      </c>
    </row>
    <row r="1071" ht="20.1" customHeight="1">
      <c r="A1071" s="12" t="inlineStr">
        <is>
          <t>Jugador 15</t>
        </is>
      </c>
      <c r="B1071" s="8" t="inlineStr">
        <is>
          <t>M62</t>
        </is>
      </c>
      <c r="C1071" s="12" t="inlineStr">
        <is>
          <t>Camerún</t>
        </is>
      </c>
      <c r="D1071" s="12" t="inlineStr">
        <is>
          <t>Egipto</t>
        </is>
      </c>
      <c r="E1071" s="8" t="n"/>
      <c r="F1071" s="8" t="n"/>
      <c r="G1071" s="8">
        <f>IF(OR(ISBLANK(E1071),ISBLANK(F1071)),"",IF(E1071&gt;F1071,"Local",IF(E1071=F1071,"Empate","Visitante")))</f>
        <v/>
      </c>
      <c r="H1071" s="8">
        <f>IF(VLOOKUP(B1071,PARTIDOS!$A:$I,9,FALSE)="Cerrado",IF(G1071=VLOOKUP(B1071,PARTIDOS!$A:$I,8,FALSE),IF(AND(E1071=VLOOKUP(B1071,PARTIDOS!$A:$I,6,FALSE),F1071=VLOOKUP(B1071,PARTIDOS!$A:$I,7,FALSE)),3,1),0),"")</f>
        <v/>
      </c>
    </row>
    <row r="1072" ht="20.1" customHeight="1">
      <c r="A1072" s="12" t="inlineStr">
        <is>
          <t>Jugador 15</t>
        </is>
      </c>
      <c r="B1072" s="8" t="inlineStr">
        <is>
          <t>M63</t>
        </is>
      </c>
      <c r="C1072" s="12" t="inlineStr">
        <is>
          <t>Túnez</t>
        </is>
      </c>
      <c r="D1072" s="12" t="inlineStr">
        <is>
          <t>Camerún</t>
        </is>
      </c>
      <c r="E1072" s="8" t="n"/>
      <c r="F1072" s="8" t="n"/>
      <c r="G1072" s="8">
        <f>IF(OR(ISBLANK(E1072),ISBLANK(F1072)),"",IF(E1072&gt;F1072,"Local",IF(E1072=F1072,"Empate","Visitante")))</f>
        <v/>
      </c>
      <c r="H1072" s="8">
        <f>IF(VLOOKUP(B1072,PARTIDOS!$A:$I,9,FALSE)="Cerrado",IF(G1072=VLOOKUP(B1072,PARTIDOS!$A:$I,8,FALSE),IF(AND(E1072=VLOOKUP(B1072,PARTIDOS!$A:$I,6,FALSE),F1072=VLOOKUP(B1072,PARTIDOS!$A:$I,7,FALSE)),3,1),0),"")</f>
        <v/>
      </c>
    </row>
    <row r="1073" ht="20.1" customHeight="1">
      <c r="A1073" s="12" t="inlineStr">
        <is>
          <t>Jugador 15</t>
        </is>
      </c>
      <c r="B1073" s="8" t="inlineStr">
        <is>
          <t>M64</t>
        </is>
      </c>
      <c r="C1073" s="12" t="inlineStr">
        <is>
          <t>Nigeria</t>
        </is>
      </c>
      <c r="D1073" s="12" t="inlineStr">
        <is>
          <t>Egipto</t>
        </is>
      </c>
      <c r="E1073" s="8" t="n"/>
      <c r="F1073" s="8" t="n"/>
      <c r="G1073" s="8">
        <f>IF(OR(ISBLANK(E1073),ISBLANK(F1073)),"",IF(E1073&gt;F1073,"Local",IF(E1073=F1073,"Empate","Visitante")))</f>
        <v/>
      </c>
      <c r="H1073" s="8">
        <f>IF(VLOOKUP(B1073,PARTIDOS!$A:$I,9,FALSE)="Cerrado",IF(G1073=VLOOKUP(B1073,PARTIDOS!$A:$I,8,FALSE),IF(AND(E1073=VLOOKUP(B1073,PARTIDOS!$A:$I,6,FALSE),F1073=VLOOKUP(B1073,PARTIDOS!$A:$I,7,FALSE)),3,1),0),"")</f>
        <v/>
      </c>
    </row>
    <row r="1074" ht="20.1" customHeight="1">
      <c r="A1074" s="12" t="inlineStr">
        <is>
          <t>Jugador 15</t>
        </is>
      </c>
      <c r="B1074" s="8" t="inlineStr">
        <is>
          <t>M65</t>
        </is>
      </c>
      <c r="C1074" s="12" t="inlineStr">
        <is>
          <t>Túnez</t>
        </is>
      </c>
      <c r="D1074" s="12" t="inlineStr">
        <is>
          <t>Egipto</t>
        </is>
      </c>
      <c r="E1074" s="8" t="n"/>
      <c r="F1074" s="8" t="n"/>
      <c r="G1074" s="8">
        <f>IF(OR(ISBLANK(E1074),ISBLANK(F1074)),"",IF(E1074&gt;F1074,"Local",IF(E1074=F1074,"Empate","Visitante")))</f>
        <v/>
      </c>
      <c r="H1074" s="8">
        <f>IF(VLOOKUP(B1074,PARTIDOS!$A:$I,9,FALSE)="Cerrado",IF(G1074=VLOOKUP(B1074,PARTIDOS!$A:$I,8,FALSE),IF(AND(E1074=VLOOKUP(B1074,PARTIDOS!$A:$I,6,FALSE),F1074=VLOOKUP(B1074,PARTIDOS!$A:$I,7,FALSE)),3,1),0),"")</f>
        <v/>
      </c>
    </row>
    <row r="1075" ht="20.1" customHeight="1">
      <c r="A1075" s="12" t="inlineStr">
        <is>
          <t>Jugador 15</t>
        </is>
      </c>
      <c r="B1075" s="8" t="inlineStr">
        <is>
          <t>M66</t>
        </is>
      </c>
      <c r="C1075" s="12" t="inlineStr">
        <is>
          <t>Nigeria</t>
        </is>
      </c>
      <c r="D1075" s="12" t="inlineStr">
        <is>
          <t>Camerún</t>
        </is>
      </c>
      <c r="E1075" s="8" t="n"/>
      <c r="F1075" s="8" t="n"/>
      <c r="G1075" s="8">
        <f>IF(OR(ISBLANK(E1075),ISBLANK(F1075)),"",IF(E1075&gt;F1075,"Local",IF(E1075=F1075,"Empate","Visitante")))</f>
        <v/>
      </c>
      <c r="H1075" s="8">
        <f>IF(VLOOKUP(B1075,PARTIDOS!$A:$I,9,FALSE)="Cerrado",IF(G1075=VLOOKUP(B1075,PARTIDOS!$A:$I,8,FALSE),IF(AND(E1075=VLOOKUP(B1075,PARTIDOS!$A:$I,6,FALSE),F1075=VLOOKUP(B1075,PARTIDOS!$A:$I,7,FALSE)),3,1),0),"")</f>
        <v/>
      </c>
    </row>
    <row r="1076" ht="20.1" customHeight="1">
      <c r="A1076" s="12" t="inlineStr">
        <is>
          <t>Jugador 15</t>
        </is>
      </c>
      <c r="B1076" s="8" t="inlineStr">
        <is>
          <t>M67</t>
        </is>
      </c>
      <c r="C1076" s="12" t="inlineStr">
        <is>
          <t>Costa de Marfil</t>
        </is>
      </c>
      <c r="D1076" s="12" t="inlineStr">
        <is>
          <t>Sudáfrica</t>
        </is>
      </c>
      <c r="E1076" s="8" t="n"/>
      <c r="F1076" s="8" t="n"/>
      <c r="G1076" s="8">
        <f>IF(OR(ISBLANK(E1076),ISBLANK(F1076)),"",IF(E1076&gt;F1076,"Local",IF(E1076=F1076,"Empate","Visitante")))</f>
        <v/>
      </c>
      <c r="H1076" s="8">
        <f>IF(VLOOKUP(B1076,PARTIDOS!$A:$I,9,FALSE)="Cerrado",IF(G1076=VLOOKUP(B1076,PARTIDOS!$A:$I,8,FALSE),IF(AND(E1076=VLOOKUP(B1076,PARTIDOS!$A:$I,6,FALSE),F1076=VLOOKUP(B1076,PARTIDOS!$A:$I,7,FALSE)),3,1),0),"")</f>
        <v/>
      </c>
    </row>
    <row r="1077" ht="20.1" customHeight="1">
      <c r="A1077" s="12" t="inlineStr">
        <is>
          <t>Jugador 15</t>
        </is>
      </c>
      <c r="B1077" s="8" t="inlineStr">
        <is>
          <t>M68</t>
        </is>
      </c>
      <c r="C1077" s="12" t="inlineStr">
        <is>
          <t>Panáma</t>
        </is>
      </c>
      <c r="D1077" s="12" t="inlineStr">
        <is>
          <t>Nueva Zelanda</t>
        </is>
      </c>
      <c r="E1077" s="8" t="n"/>
      <c r="F1077" s="8" t="n"/>
      <c r="G1077" s="8">
        <f>IF(OR(ISBLANK(E1077),ISBLANK(F1077)),"",IF(E1077&gt;F1077,"Local",IF(E1077=F1077,"Empate","Visitante")))</f>
        <v/>
      </c>
      <c r="H1077" s="8">
        <f>IF(VLOOKUP(B1077,PARTIDOS!$A:$I,9,FALSE)="Cerrado",IF(G1077=VLOOKUP(B1077,PARTIDOS!$A:$I,8,FALSE),IF(AND(E1077=VLOOKUP(B1077,PARTIDOS!$A:$I,6,FALSE),F1077=VLOOKUP(B1077,PARTIDOS!$A:$I,7,FALSE)),3,1),0),"")</f>
        <v/>
      </c>
    </row>
    <row r="1078" ht="20.1" customHeight="1">
      <c r="A1078" s="12" t="inlineStr">
        <is>
          <t>Jugador 15</t>
        </is>
      </c>
      <c r="B1078" s="8" t="inlineStr">
        <is>
          <t>M69</t>
        </is>
      </c>
      <c r="C1078" s="12" t="inlineStr">
        <is>
          <t>Costa de Marfil</t>
        </is>
      </c>
      <c r="D1078" s="12" t="inlineStr">
        <is>
          <t>Panáma</t>
        </is>
      </c>
      <c r="E1078" s="8" t="n"/>
      <c r="F1078" s="8" t="n"/>
      <c r="G1078" s="8">
        <f>IF(OR(ISBLANK(E1078),ISBLANK(F1078)),"",IF(E1078&gt;F1078,"Local",IF(E1078=F1078,"Empate","Visitante")))</f>
        <v/>
      </c>
      <c r="H1078" s="8">
        <f>IF(VLOOKUP(B1078,PARTIDOS!$A:$I,9,FALSE)="Cerrado",IF(G1078=VLOOKUP(B1078,PARTIDOS!$A:$I,8,FALSE),IF(AND(E1078=VLOOKUP(B1078,PARTIDOS!$A:$I,6,FALSE),F1078=VLOOKUP(B1078,PARTIDOS!$A:$I,7,FALSE)),3,1),0),"")</f>
        <v/>
      </c>
    </row>
    <row r="1079" ht="20.1" customHeight="1">
      <c r="A1079" s="12" t="inlineStr">
        <is>
          <t>Jugador 15</t>
        </is>
      </c>
      <c r="B1079" s="8" t="inlineStr">
        <is>
          <t>M70</t>
        </is>
      </c>
      <c r="C1079" s="12" t="inlineStr">
        <is>
          <t>Sudáfrica</t>
        </is>
      </c>
      <c r="D1079" s="12" t="inlineStr">
        <is>
          <t>Nueva Zelanda</t>
        </is>
      </c>
      <c r="E1079" s="8" t="n"/>
      <c r="F1079" s="8" t="n"/>
      <c r="G1079" s="8">
        <f>IF(OR(ISBLANK(E1079),ISBLANK(F1079)),"",IF(E1079&gt;F1079,"Local",IF(E1079=F1079,"Empate","Visitante")))</f>
        <v/>
      </c>
      <c r="H1079" s="8">
        <f>IF(VLOOKUP(B1079,PARTIDOS!$A:$I,9,FALSE)="Cerrado",IF(G1079=VLOOKUP(B1079,PARTIDOS!$A:$I,8,FALSE),IF(AND(E1079=VLOOKUP(B1079,PARTIDOS!$A:$I,6,FALSE),F1079=VLOOKUP(B1079,PARTIDOS!$A:$I,7,FALSE)),3,1),0),"")</f>
        <v/>
      </c>
    </row>
    <row r="1080" ht="20.1" customHeight="1">
      <c r="A1080" s="12" t="inlineStr">
        <is>
          <t>Jugador 15</t>
        </is>
      </c>
      <c r="B1080" s="8" t="inlineStr">
        <is>
          <t>M71</t>
        </is>
      </c>
      <c r="C1080" s="12" t="inlineStr">
        <is>
          <t>Costa de Marfil</t>
        </is>
      </c>
      <c r="D1080" s="12" t="inlineStr">
        <is>
          <t>Nueva Zelanda</t>
        </is>
      </c>
      <c r="E1080" s="8" t="n"/>
      <c r="F1080" s="8" t="n"/>
      <c r="G1080" s="8">
        <f>IF(OR(ISBLANK(E1080),ISBLANK(F1080)),"",IF(E1080&gt;F1080,"Local",IF(E1080=F1080,"Empate","Visitante")))</f>
        <v/>
      </c>
      <c r="H1080" s="8">
        <f>IF(VLOOKUP(B1080,PARTIDOS!$A:$I,9,FALSE)="Cerrado",IF(G1080=VLOOKUP(B1080,PARTIDOS!$A:$I,8,FALSE),IF(AND(E1080=VLOOKUP(B1080,PARTIDOS!$A:$I,6,FALSE),F1080=VLOOKUP(B1080,PARTIDOS!$A:$I,7,FALSE)),3,1),0),"")</f>
        <v/>
      </c>
    </row>
    <row r="1081" ht="20.1" customHeight="1">
      <c r="A1081" s="12" t="inlineStr">
        <is>
          <t>Jugador 15</t>
        </is>
      </c>
      <c r="B1081" s="8" t="inlineStr">
        <is>
          <t>M72</t>
        </is>
      </c>
      <c r="C1081" s="12" t="inlineStr">
        <is>
          <t>Sudáfrica</t>
        </is>
      </c>
      <c r="D1081" s="12" t="inlineStr">
        <is>
          <t>Panáma</t>
        </is>
      </c>
      <c r="E1081" s="8" t="n"/>
      <c r="F1081" s="8" t="n"/>
      <c r="G1081" s="8">
        <f>IF(OR(ISBLANK(E1081),ISBLANK(F1081)),"",IF(E1081&gt;F1081,"Local",IF(E1081=F1081,"Empate","Visitante")))</f>
        <v/>
      </c>
      <c r="H1081" s="8">
        <f>IF(VLOOKUP(B1081,PARTIDOS!$A:$I,9,FALSE)="Cerrado",IF(G1081=VLOOKUP(B1081,PARTIDOS!$A:$I,8,FALSE),IF(AND(E1081=VLOOKUP(B1081,PARTIDOS!$A:$I,6,FALSE),F1081=VLOOKUP(B1081,PARTIDOS!$A:$I,7,FALSE)),3,1),0),"")</f>
        <v/>
      </c>
    </row>
    <row r="1082" ht="20.1" customHeight="1">
      <c r="A1082" s="12" t="inlineStr">
        <is>
          <t>Jugador 16</t>
        </is>
      </c>
      <c r="B1082" s="8" t="inlineStr">
        <is>
          <t>M01</t>
        </is>
      </c>
      <c r="C1082" s="12" t="inlineStr">
        <is>
          <t>México</t>
        </is>
      </c>
      <c r="D1082" s="12" t="inlineStr">
        <is>
          <t>EEUU</t>
        </is>
      </c>
      <c r="E1082" s="8" t="n"/>
      <c r="F1082" s="8" t="n"/>
      <c r="G1082" s="8">
        <f>IF(OR(ISBLANK(E1082),ISBLANK(F1082)),"",IF(E1082&gt;F1082,"Local",IF(E1082=F1082,"Empate","Visitante")))</f>
        <v/>
      </c>
      <c r="H1082" s="8">
        <f>IF(VLOOKUP(B1082,PARTIDOS!$A:$I,9,FALSE)="Cerrado",IF(G1082=VLOOKUP(B1082,PARTIDOS!$A:$I,8,FALSE),IF(AND(E1082=VLOOKUP(B1082,PARTIDOS!$A:$I,6,FALSE),F1082=VLOOKUP(B1082,PARTIDOS!$A:$I,7,FALSE)),3,1),0),"")</f>
        <v/>
      </c>
    </row>
    <row r="1083" ht="20.1" customHeight="1">
      <c r="A1083" s="12" t="inlineStr">
        <is>
          <t>Jugador 16</t>
        </is>
      </c>
      <c r="B1083" s="8" t="inlineStr">
        <is>
          <t>M02</t>
        </is>
      </c>
      <c r="C1083" s="12" t="inlineStr">
        <is>
          <t>Canadá</t>
        </is>
      </c>
      <c r="D1083" s="12" t="inlineStr">
        <is>
          <t>Jamaica</t>
        </is>
      </c>
      <c r="E1083" s="8" t="n"/>
      <c r="F1083" s="8" t="n"/>
      <c r="G1083" s="8">
        <f>IF(OR(ISBLANK(E1083),ISBLANK(F1083)),"",IF(E1083&gt;F1083,"Local",IF(E1083=F1083,"Empate","Visitante")))</f>
        <v/>
      </c>
      <c r="H1083" s="8">
        <f>IF(VLOOKUP(B1083,PARTIDOS!$A:$I,9,FALSE)="Cerrado",IF(G1083=VLOOKUP(B1083,PARTIDOS!$A:$I,8,FALSE),IF(AND(E1083=VLOOKUP(B1083,PARTIDOS!$A:$I,6,FALSE),F1083=VLOOKUP(B1083,PARTIDOS!$A:$I,7,FALSE)),3,1),0),"")</f>
        <v/>
      </c>
    </row>
    <row r="1084" ht="20.1" customHeight="1">
      <c r="A1084" s="12" t="inlineStr">
        <is>
          <t>Jugador 16</t>
        </is>
      </c>
      <c r="B1084" s="8" t="inlineStr">
        <is>
          <t>M03</t>
        </is>
      </c>
      <c r="C1084" s="12" t="inlineStr">
        <is>
          <t>México</t>
        </is>
      </c>
      <c r="D1084" s="12" t="inlineStr">
        <is>
          <t>Canadá</t>
        </is>
      </c>
      <c r="E1084" s="8" t="n"/>
      <c r="F1084" s="8" t="n"/>
      <c r="G1084" s="8">
        <f>IF(OR(ISBLANK(E1084),ISBLANK(F1084)),"",IF(E1084&gt;F1084,"Local",IF(E1084=F1084,"Empate","Visitante")))</f>
        <v/>
      </c>
      <c r="H1084" s="8">
        <f>IF(VLOOKUP(B1084,PARTIDOS!$A:$I,9,FALSE)="Cerrado",IF(G1084=VLOOKUP(B1084,PARTIDOS!$A:$I,8,FALSE),IF(AND(E1084=VLOOKUP(B1084,PARTIDOS!$A:$I,6,FALSE),F1084=VLOOKUP(B1084,PARTIDOS!$A:$I,7,FALSE)),3,1),0),"")</f>
        <v/>
      </c>
    </row>
    <row r="1085" ht="20.1" customHeight="1">
      <c r="A1085" s="12" t="inlineStr">
        <is>
          <t>Jugador 16</t>
        </is>
      </c>
      <c r="B1085" s="8" t="inlineStr">
        <is>
          <t>M04</t>
        </is>
      </c>
      <c r="C1085" s="12" t="inlineStr">
        <is>
          <t>EEUU</t>
        </is>
      </c>
      <c r="D1085" s="12" t="inlineStr">
        <is>
          <t>Jamaica</t>
        </is>
      </c>
      <c r="E1085" s="8" t="n"/>
      <c r="F1085" s="8" t="n"/>
      <c r="G1085" s="8">
        <f>IF(OR(ISBLANK(E1085),ISBLANK(F1085)),"",IF(E1085&gt;F1085,"Local",IF(E1085=F1085,"Empate","Visitante")))</f>
        <v/>
      </c>
      <c r="H1085" s="8">
        <f>IF(VLOOKUP(B1085,PARTIDOS!$A:$I,9,FALSE)="Cerrado",IF(G1085=VLOOKUP(B1085,PARTIDOS!$A:$I,8,FALSE),IF(AND(E1085=VLOOKUP(B1085,PARTIDOS!$A:$I,6,FALSE),F1085=VLOOKUP(B1085,PARTIDOS!$A:$I,7,FALSE)),3,1),0),"")</f>
        <v/>
      </c>
    </row>
    <row r="1086" ht="20.1" customHeight="1">
      <c r="A1086" s="12" t="inlineStr">
        <is>
          <t>Jugador 16</t>
        </is>
      </c>
      <c r="B1086" s="8" t="inlineStr">
        <is>
          <t>M05</t>
        </is>
      </c>
      <c r="C1086" s="12" t="inlineStr">
        <is>
          <t>México</t>
        </is>
      </c>
      <c r="D1086" s="12" t="inlineStr">
        <is>
          <t>Jamaica</t>
        </is>
      </c>
      <c r="E1086" s="8" t="n"/>
      <c r="F1086" s="8" t="n"/>
      <c r="G1086" s="8">
        <f>IF(OR(ISBLANK(E1086),ISBLANK(F1086)),"",IF(E1086&gt;F1086,"Local",IF(E1086=F1086,"Empate","Visitante")))</f>
        <v/>
      </c>
      <c r="H1086" s="8">
        <f>IF(VLOOKUP(B1086,PARTIDOS!$A:$I,9,FALSE)="Cerrado",IF(G1086=VLOOKUP(B1086,PARTIDOS!$A:$I,8,FALSE),IF(AND(E1086=VLOOKUP(B1086,PARTIDOS!$A:$I,6,FALSE),F1086=VLOOKUP(B1086,PARTIDOS!$A:$I,7,FALSE)),3,1),0),"")</f>
        <v/>
      </c>
    </row>
    <row r="1087" ht="20.1" customHeight="1">
      <c r="A1087" s="12" t="inlineStr">
        <is>
          <t>Jugador 16</t>
        </is>
      </c>
      <c r="B1087" s="8" t="inlineStr">
        <is>
          <t>M06</t>
        </is>
      </c>
      <c r="C1087" s="12" t="inlineStr">
        <is>
          <t>EEUU</t>
        </is>
      </c>
      <c r="D1087" s="12" t="inlineStr">
        <is>
          <t>Canadá</t>
        </is>
      </c>
      <c r="E1087" s="8" t="n"/>
      <c r="F1087" s="8" t="n"/>
      <c r="G1087" s="8">
        <f>IF(OR(ISBLANK(E1087),ISBLANK(F1087)),"",IF(E1087&gt;F1087,"Local",IF(E1087=F1087,"Empate","Visitante")))</f>
        <v/>
      </c>
      <c r="H1087" s="8">
        <f>IF(VLOOKUP(B1087,PARTIDOS!$A:$I,9,FALSE)="Cerrado",IF(G1087=VLOOKUP(B1087,PARTIDOS!$A:$I,8,FALSE),IF(AND(E1087=VLOOKUP(B1087,PARTIDOS!$A:$I,6,FALSE),F1087=VLOOKUP(B1087,PARTIDOS!$A:$I,7,FALSE)),3,1),0),"")</f>
        <v/>
      </c>
    </row>
    <row r="1088" ht="20.1" customHeight="1">
      <c r="A1088" s="12" t="inlineStr">
        <is>
          <t>Jugador 16</t>
        </is>
      </c>
      <c r="B1088" s="8" t="inlineStr">
        <is>
          <t>M07</t>
        </is>
      </c>
      <c r="C1088" s="12" t="inlineStr">
        <is>
          <t>Argentina</t>
        </is>
      </c>
      <c r="D1088" s="12" t="inlineStr">
        <is>
          <t>Brasil</t>
        </is>
      </c>
      <c r="E1088" s="8" t="n"/>
      <c r="F1088" s="8" t="n"/>
      <c r="G1088" s="8">
        <f>IF(OR(ISBLANK(E1088),ISBLANK(F1088)),"",IF(E1088&gt;F1088,"Local",IF(E1088=F1088,"Empate","Visitante")))</f>
        <v/>
      </c>
      <c r="H1088" s="8">
        <f>IF(VLOOKUP(B1088,PARTIDOS!$A:$I,9,FALSE)="Cerrado",IF(G1088=VLOOKUP(B1088,PARTIDOS!$A:$I,8,FALSE),IF(AND(E1088=VLOOKUP(B1088,PARTIDOS!$A:$I,6,FALSE),F1088=VLOOKUP(B1088,PARTIDOS!$A:$I,7,FALSE)),3,1),0),"")</f>
        <v/>
      </c>
    </row>
    <row r="1089" ht="20.1" customHeight="1">
      <c r="A1089" s="12" t="inlineStr">
        <is>
          <t>Jugador 16</t>
        </is>
      </c>
      <c r="B1089" s="8" t="inlineStr">
        <is>
          <t>M08</t>
        </is>
      </c>
      <c r="C1089" s="12" t="inlineStr">
        <is>
          <t>Colombia</t>
        </is>
      </c>
      <c r="D1089" s="12" t="inlineStr">
        <is>
          <t>Uruguay</t>
        </is>
      </c>
      <c r="E1089" s="8" t="n"/>
      <c r="F1089" s="8" t="n"/>
      <c r="G1089" s="8">
        <f>IF(OR(ISBLANK(E1089),ISBLANK(F1089)),"",IF(E1089&gt;F1089,"Local",IF(E1089=F1089,"Empate","Visitante")))</f>
        <v/>
      </c>
      <c r="H1089" s="8">
        <f>IF(VLOOKUP(B1089,PARTIDOS!$A:$I,9,FALSE)="Cerrado",IF(G1089=VLOOKUP(B1089,PARTIDOS!$A:$I,8,FALSE),IF(AND(E1089=VLOOKUP(B1089,PARTIDOS!$A:$I,6,FALSE),F1089=VLOOKUP(B1089,PARTIDOS!$A:$I,7,FALSE)),3,1),0),"")</f>
        <v/>
      </c>
    </row>
    <row r="1090" ht="20.1" customHeight="1">
      <c r="A1090" s="12" t="inlineStr">
        <is>
          <t>Jugador 16</t>
        </is>
      </c>
      <c r="B1090" s="8" t="inlineStr">
        <is>
          <t>M09</t>
        </is>
      </c>
      <c r="C1090" s="12" t="inlineStr">
        <is>
          <t>Argentina</t>
        </is>
      </c>
      <c r="D1090" s="12" t="inlineStr">
        <is>
          <t>Colombia</t>
        </is>
      </c>
      <c r="E1090" s="8" t="n"/>
      <c r="F1090" s="8" t="n"/>
      <c r="G1090" s="8">
        <f>IF(OR(ISBLANK(E1090),ISBLANK(F1090)),"",IF(E1090&gt;F1090,"Local",IF(E1090=F1090,"Empate","Visitante")))</f>
        <v/>
      </c>
      <c r="H1090" s="8">
        <f>IF(VLOOKUP(B1090,PARTIDOS!$A:$I,9,FALSE)="Cerrado",IF(G1090=VLOOKUP(B1090,PARTIDOS!$A:$I,8,FALSE),IF(AND(E1090=VLOOKUP(B1090,PARTIDOS!$A:$I,6,FALSE),F1090=VLOOKUP(B1090,PARTIDOS!$A:$I,7,FALSE)),3,1),0),"")</f>
        <v/>
      </c>
    </row>
    <row r="1091" ht="20.1" customHeight="1">
      <c r="A1091" s="12" t="inlineStr">
        <is>
          <t>Jugador 16</t>
        </is>
      </c>
      <c r="B1091" s="8" t="inlineStr">
        <is>
          <t>M10</t>
        </is>
      </c>
      <c r="C1091" s="12" t="inlineStr">
        <is>
          <t>Brasil</t>
        </is>
      </c>
      <c r="D1091" s="12" t="inlineStr">
        <is>
          <t>Uruguay</t>
        </is>
      </c>
      <c r="E1091" s="8" t="n"/>
      <c r="F1091" s="8" t="n"/>
      <c r="G1091" s="8">
        <f>IF(OR(ISBLANK(E1091),ISBLANK(F1091)),"",IF(E1091&gt;F1091,"Local",IF(E1091=F1091,"Empate","Visitante")))</f>
        <v/>
      </c>
      <c r="H1091" s="8">
        <f>IF(VLOOKUP(B1091,PARTIDOS!$A:$I,9,FALSE)="Cerrado",IF(G1091=VLOOKUP(B1091,PARTIDOS!$A:$I,8,FALSE),IF(AND(E1091=VLOOKUP(B1091,PARTIDOS!$A:$I,6,FALSE),F1091=VLOOKUP(B1091,PARTIDOS!$A:$I,7,FALSE)),3,1),0),"")</f>
        <v/>
      </c>
    </row>
    <row r="1092" ht="20.1" customHeight="1">
      <c r="A1092" s="12" t="inlineStr">
        <is>
          <t>Jugador 16</t>
        </is>
      </c>
      <c r="B1092" s="8" t="inlineStr">
        <is>
          <t>M11</t>
        </is>
      </c>
      <c r="C1092" s="12" t="inlineStr">
        <is>
          <t>Argentina</t>
        </is>
      </c>
      <c r="D1092" s="12" t="inlineStr">
        <is>
          <t>Uruguay</t>
        </is>
      </c>
      <c r="E1092" s="8" t="n"/>
      <c r="F1092" s="8" t="n"/>
      <c r="G1092" s="8">
        <f>IF(OR(ISBLANK(E1092),ISBLANK(F1092)),"",IF(E1092&gt;F1092,"Local",IF(E1092=F1092,"Empate","Visitante")))</f>
        <v/>
      </c>
      <c r="H1092" s="8">
        <f>IF(VLOOKUP(B1092,PARTIDOS!$A:$I,9,FALSE)="Cerrado",IF(G1092=VLOOKUP(B1092,PARTIDOS!$A:$I,8,FALSE),IF(AND(E1092=VLOOKUP(B1092,PARTIDOS!$A:$I,6,FALSE),F1092=VLOOKUP(B1092,PARTIDOS!$A:$I,7,FALSE)),3,1),0),"")</f>
        <v/>
      </c>
    </row>
    <row r="1093" ht="20.1" customHeight="1">
      <c r="A1093" s="12" t="inlineStr">
        <is>
          <t>Jugador 16</t>
        </is>
      </c>
      <c r="B1093" s="8" t="inlineStr">
        <is>
          <t>M12</t>
        </is>
      </c>
      <c r="C1093" s="12" t="inlineStr">
        <is>
          <t>Brasil</t>
        </is>
      </c>
      <c r="D1093" s="12" t="inlineStr">
        <is>
          <t>Colombia</t>
        </is>
      </c>
      <c r="E1093" s="8" t="n"/>
      <c r="F1093" s="8" t="n"/>
      <c r="G1093" s="8">
        <f>IF(OR(ISBLANK(E1093),ISBLANK(F1093)),"",IF(E1093&gt;F1093,"Local",IF(E1093=F1093,"Empate","Visitante")))</f>
        <v/>
      </c>
      <c r="H1093" s="8">
        <f>IF(VLOOKUP(B1093,PARTIDOS!$A:$I,9,FALSE)="Cerrado",IF(G1093=VLOOKUP(B1093,PARTIDOS!$A:$I,8,FALSE),IF(AND(E1093=VLOOKUP(B1093,PARTIDOS!$A:$I,6,FALSE),F1093=VLOOKUP(B1093,PARTIDOS!$A:$I,7,FALSE)),3,1),0),"")</f>
        <v/>
      </c>
    </row>
    <row r="1094" ht="20.1" customHeight="1">
      <c r="A1094" s="12" t="inlineStr">
        <is>
          <t>Jugador 16</t>
        </is>
      </c>
      <c r="B1094" s="8" t="inlineStr">
        <is>
          <t>M13</t>
        </is>
      </c>
      <c r="C1094" s="12" t="inlineStr">
        <is>
          <t>Ecuador</t>
        </is>
      </c>
      <c r="D1094" s="12" t="inlineStr">
        <is>
          <t>Perú</t>
        </is>
      </c>
      <c r="E1094" s="8" t="n"/>
      <c r="F1094" s="8" t="n"/>
      <c r="G1094" s="8">
        <f>IF(OR(ISBLANK(E1094),ISBLANK(F1094)),"",IF(E1094&gt;F1094,"Local",IF(E1094=F1094,"Empate","Visitante")))</f>
        <v/>
      </c>
      <c r="H1094" s="8">
        <f>IF(VLOOKUP(B1094,PARTIDOS!$A:$I,9,FALSE)="Cerrado",IF(G1094=VLOOKUP(B1094,PARTIDOS!$A:$I,8,FALSE),IF(AND(E1094=VLOOKUP(B1094,PARTIDOS!$A:$I,6,FALSE),F1094=VLOOKUP(B1094,PARTIDOS!$A:$I,7,FALSE)),3,1),0),"")</f>
        <v/>
      </c>
    </row>
    <row r="1095" ht="20.1" customHeight="1">
      <c r="A1095" s="12" t="inlineStr">
        <is>
          <t>Jugador 16</t>
        </is>
      </c>
      <c r="B1095" s="8" t="inlineStr">
        <is>
          <t>M14</t>
        </is>
      </c>
      <c r="C1095" s="12" t="inlineStr">
        <is>
          <t>Chile</t>
        </is>
      </c>
      <c r="D1095" s="12" t="inlineStr">
        <is>
          <t>Paraguay</t>
        </is>
      </c>
      <c r="E1095" s="8" t="n"/>
      <c r="F1095" s="8" t="n"/>
      <c r="G1095" s="8">
        <f>IF(OR(ISBLANK(E1095),ISBLANK(F1095)),"",IF(E1095&gt;F1095,"Local",IF(E1095=F1095,"Empate","Visitante")))</f>
        <v/>
      </c>
      <c r="H1095" s="8">
        <f>IF(VLOOKUP(B1095,PARTIDOS!$A:$I,9,FALSE)="Cerrado",IF(G1095=VLOOKUP(B1095,PARTIDOS!$A:$I,8,FALSE),IF(AND(E1095=VLOOKUP(B1095,PARTIDOS!$A:$I,6,FALSE),F1095=VLOOKUP(B1095,PARTIDOS!$A:$I,7,FALSE)),3,1),0),"")</f>
        <v/>
      </c>
    </row>
    <row r="1096" ht="20.1" customHeight="1">
      <c r="A1096" s="12" t="inlineStr">
        <is>
          <t>Jugador 16</t>
        </is>
      </c>
      <c r="B1096" s="8" t="inlineStr">
        <is>
          <t>M15</t>
        </is>
      </c>
      <c r="C1096" s="12" t="inlineStr">
        <is>
          <t>Ecuador</t>
        </is>
      </c>
      <c r="D1096" s="12" t="inlineStr">
        <is>
          <t>Chile</t>
        </is>
      </c>
      <c r="E1096" s="8" t="n"/>
      <c r="F1096" s="8" t="n"/>
      <c r="G1096" s="8">
        <f>IF(OR(ISBLANK(E1096),ISBLANK(F1096)),"",IF(E1096&gt;F1096,"Local",IF(E1096=F1096,"Empate","Visitante")))</f>
        <v/>
      </c>
      <c r="H1096" s="8">
        <f>IF(VLOOKUP(B1096,PARTIDOS!$A:$I,9,FALSE)="Cerrado",IF(G1096=VLOOKUP(B1096,PARTIDOS!$A:$I,8,FALSE),IF(AND(E1096=VLOOKUP(B1096,PARTIDOS!$A:$I,6,FALSE),F1096=VLOOKUP(B1096,PARTIDOS!$A:$I,7,FALSE)),3,1),0),"")</f>
        <v/>
      </c>
    </row>
    <row r="1097" ht="20.1" customHeight="1">
      <c r="A1097" s="12" t="inlineStr">
        <is>
          <t>Jugador 16</t>
        </is>
      </c>
      <c r="B1097" s="8" t="inlineStr">
        <is>
          <t>M16</t>
        </is>
      </c>
      <c r="C1097" s="12" t="inlineStr">
        <is>
          <t>Perú</t>
        </is>
      </c>
      <c r="D1097" s="12" t="inlineStr">
        <is>
          <t>Paraguay</t>
        </is>
      </c>
      <c r="E1097" s="8" t="n"/>
      <c r="F1097" s="8" t="n"/>
      <c r="G1097" s="8">
        <f>IF(OR(ISBLANK(E1097),ISBLANK(F1097)),"",IF(E1097&gt;F1097,"Local",IF(E1097=F1097,"Empate","Visitante")))</f>
        <v/>
      </c>
      <c r="H1097" s="8">
        <f>IF(VLOOKUP(B1097,PARTIDOS!$A:$I,9,FALSE)="Cerrado",IF(G1097=VLOOKUP(B1097,PARTIDOS!$A:$I,8,FALSE),IF(AND(E1097=VLOOKUP(B1097,PARTIDOS!$A:$I,6,FALSE),F1097=VLOOKUP(B1097,PARTIDOS!$A:$I,7,FALSE)),3,1),0),"")</f>
        <v/>
      </c>
    </row>
    <row r="1098" ht="20.1" customHeight="1">
      <c r="A1098" s="12" t="inlineStr">
        <is>
          <t>Jugador 16</t>
        </is>
      </c>
      <c r="B1098" s="8" t="inlineStr">
        <is>
          <t>M17</t>
        </is>
      </c>
      <c r="C1098" s="12" t="inlineStr">
        <is>
          <t>Ecuador</t>
        </is>
      </c>
      <c r="D1098" s="12" t="inlineStr">
        <is>
          <t>Paraguay</t>
        </is>
      </c>
      <c r="E1098" s="8" t="n"/>
      <c r="F1098" s="8" t="n"/>
      <c r="G1098" s="8">
        <f>IF(OR(ISBLANK(E1098),ISBLANK(F1098)),"",IF(E1098&gt;F1098,"Local",IF(E1098=F1098,"Empate","Visitante")))</f>
        <v/>
      </c>
      <c r="H1098" s="8">
        <f>IF(VLOOKUP(B1098,PARTIDOS!$A:$I,9,FALSE)="Cerrado",IF(G1098=VLOOKUP(B1098,PARTIDOS!$A:$I,8,FALSE),IF(AND(E1098=VLOOKUP(B1098,PARTIDOS!$A:$I,6,FALSE),F1098=VLOOKUP(B1098,PARTIDOS!$A:$I,7,FALSE)),3,1),0),"")</f>
        <v/>
      </c>
    </row>
    <row r="1099" ht="20.1" customHeight="1">
      <c r="A1099" s="12" t="inlineStr">
        <is>
          <t>Jugador 16</t>
        </is>
      </c>
      <c r="B1099" s="8" t="inlineStr">
        <is>
          <t>M18</t>
        </is>
      </c>
      <c r="C1099" s="12" t="inlineStr">
        <is>
          <t>Perú</t>
        </is>
      </c>
      <c r="D1099" s="12" t="inlineStr">
        <is>
          <t>Chile</t>
        </is>
      </c>
      <c r="E1099" s="8" t="n"/>
      <c r="F1099" s="8" t="n"/>
      <c r="G1099" s="8">
        <f>IF(OR(ISBLANK(E1099),ISBLANK(F1099)),"",IF(E1099&gt;F1099,"Local",IF(E1099=F1099,"Empate","Visitante")))</f>
        <v/>
      </c>
      <c r="H1099" s="8">
        <f>IF(VLOOKUP(B1099,PARTIDOS!$A:$I,9,FALSE)="Cerrado",IF(G1099=VLOOKUP(B1099,PARTIDOS!$A:$I,8,FALSE),IF(AND(E1099=VLOOKUP(B1099,PARTIDOS!$A:$I,6,FALSE),F1099=VLOOKUP(B1099,PARTIDOS!$A:$I,7,FALSE)),3,1),0),"")</f>
        <v/>
      </c>
    </row>
    <row r="1100" ht="20.1" customHeight="1">
      <c r="A1100" s="12" t="inlineStr">
        <is>
          <t>Jugador 16</t>
        </is>
      </c>
      <c r="B1100" s="8" t="inlineStr">
        <is>
          <t>M19</t>
        </is>
      </c>
      <c r="C1100" s="12" t="inlineStr">
        <is>
          <t>España</t>
        </is>
      </c>
      <c r="D1100" s="12" t="inlineStr">
        <is>
          <t>Francia</t>
        </is>
      </c>
      <c r="E1100" s="8" t="n"/>
      <c r="F1100" s="8" t="n"/>
      <c r="G1100" s="8">
        <f>IF(OR(ISBLANK(E1100),ISBLANK(F1100)),"",IF(E1100&gt;F1100,"Local",IF(E1100=F1100,"Empate","Visitante")))</f>
        <v/>
      </c>
      <c r="H1100" s="8">
        <f>IF(VLOOKUP(B1100,PARTIDOS!$A:$I,9,FALSE)="Cerrado",IF(G1100=VLOOKUP(B1100,PARTIDOS!$A:$I,8,FALSE),IF(AND(E1100=VLOOKUP(B1100,PARTIDOS!$A:$I,6,FALSE),F1100=VLOOKUP(B1100,PARTIDOS!$A:$I,7,FALSE)),3,1),0),"")</f>
        <v/>
      </c>
    </row>
    <row r="1101" ht="20.1" customHeight="1">
      <c r="A1101" s="12" t="inlineStr">
        <is>
          <t>Jugador 16</t>
        </is>
      </c>
      <c r="B1101" s="8" t="inlineStr">
        <is>
          <t>M20</t>
        </is>
      </c>
      <c r="C1101" s="12" t="inlineStr">
        <is>
          <t>Inglaterra</t>
        </is>
      </c>
      <c r="D1101" s="12" t="inlineStr">
        <is>
          <t>Alemania</t>
        </is>
      </c>
      <c r="E1101" s="8" t="n"/>
      <c r="F1101" s="8" t="n"/>
      <c r="G1101" s="8">
        <f>IF(OR(ISBLANK(E1101),ISBLANK(F1101)),"",IF(E1101&gt;F1101,"Local",IF(E1101=F1101,"Empate","Visitante")))</f>
        <v/>
      </c>
      <c r="H1101" s="8">
        <f>IF(VLOOKUP(B1101,PARTIDOS!$A:$I,9,FALSE)="Cerrado",IF(G1101=VLOOKUP(B1101,PARTIDOS!$A:$I,8,FALSE),IF(AND(E1101=VLOOKUP(B1101,PARTIDOS!$A:$I,6,FALSE),F1101=VLOOKUP(B1101,PARTIDOS!$A:$I,7,FALSE)),3,1),0),"")</f>
        <v/>
      </c>
    </row>
    <row r="1102" ht="20.1" customHeight="1">
      <c r="A1102" s="12" t="inlineStr">
        <is>
          <t>Jugador 16</t>
        </is>
      </c>
      <c r="B1102" s="8" t="inlineStr">
        <is>
          <t>M21</t>
        </is>
      </c>
      <c r="C1102" s="12" t="inlineStr">
        <is>
          <t>España</t>
        </is>
      </c>
      <c r="D1102" s="12" t="inlineStr">
        <is>
          <t>Inglaterra</t>
        </is>
      </c>
      <c r="E1102" s="8" t="n"/>
      <c r="F1102" s="8" t="n"/>
      <c r="G1102" s="8">
        <f>IF(OR(ISBLANK(E1102),ISBLANK(F1102)),"",IF(E1102&gt;F1102,"Local",IF(E1102=F1102,"Empate","Visitante")))</f>
        <v/>
      </c>
      <c r="H1102" s="8">
        <f>IF(VLOOKUP(B1102,PARTIDOS!$A:$I,9,FALSE)="Cerrado",IF(G1102=VLOOKUP(B1102,PARTIDOS!$A:$I,8,FALSE),IF(AND(E1102=VLOOKUP(B1102,PARTIDOS!$A:$I,6,FALSE),F1102=VLOOKUP(B1102,PARTIDOS!$A:$I,7,FALSE)),3,1),0),"")</f>
        <v/>
      </c>
    </row>
    <row r="1103" ht="20.1" customHeight="1">
      <c r="A1103" s="12" t="inlineStr">
        <is>
          <t>Jugador 16</t>
        </is>
      </c>
      <c r="B1103" s="8" t="inlineStr">
        <is>
          <t>M22</t>
        </is>
      </c>
      <c r="C1103" s="12" t="inlineStr">
        <is>
          <t>Francia</t>
        </is>
      </c>
      <c r="D1103" s="12" t="inlineStr">
        <is>
          <t>Alemania</t>
        </is>
      </c>
      <c r="E1103" s="8" t="n"/>
      <c r="F1103" s="8" t="n"/>
      <c r="G1103" s="8">
        <f>IF(OR(ISBLANK(E1103),ISBLANK(F1103)),"",IF(E1103&gt;F1103,"Local",IF(E1103=F1103,"Empate","Visitante")))</f>
        <v/>
      </c>
      <c r="H1103" s="8">
        <f>IF(VLOOKUP(B1103,PARTIDOS!$A:$I,9,FALSE)="Cerrado",IF(G1103=VLOOKUP(B1103,PARTIDOS!$A:$I,8,FALSE),IF(AND(E1103=VLOOKUP(B1103,PARTIDOS!$A:$I,6,FALSE),F1103=VLOOKUP(B1103,PARTIDOS!$A:$I,7,FALSE)),3,1),0),"")</f>
        <v/>
      </c>
    </row>
    <row r="1104" ht="20.1" customHeight="1">
      <c r="A1104" s="12" t="inlineStr">
        <is>
          <t>Jugador 16</t>
        </is>
      </c>
      <c r="B1104" s="8" t="inlineStr">
        <is>
          <t>M23</t>
        </is>
      </c>
      <c r="C1104" s="12" t="inlineStr">
        <is>
          <t>España</t>
        </is>
      </c>
      <c r="D1104" s="12" t="inlineStr">
        <is>
          <t>Alemania</t>
        </is>
      </c>
      <c r="E1104" s="8" t="n"/>
      <c r="F1104" s="8" t="n"/>
      <c r="G1104" s="8">
        <f>IF(OR(ISBLANK(E1104),ISBLANK(F1104)),"",IF(E1104&gt;F1104,"Local",IF(E1104=F1104,"Empate","Visitante")))</f>
        <v/>
      </c>
      <c r="H1104" s="8">
        <f>IF(VLOOKUP(B1104,PARTIDOS!$A:$I,9,FALSE)="Cerrado",IF(G1104=VLOOKUP(B1104,PARTIDOS!$A:$I,8,FALSE),IF(AND(E1104=VLOOKUP(B1104,PARTIDOS!$A:$I,6,FALSE),F1104=VLOOKUP(B1104,PARTIDOS!$A:$I,7,FALSE)),3,1),0),"")</f>
        <v/>
      </c>
    </row>
    <row r="1105" ht="20.1" customHeight="1">
      <c r="A1105" s="12" t="inlineStr">
        <is>
          <t>Jugador 16</t>
        </is>
      </c>
      <c r="B1105" s="8" t="inlineStr">
        <is>
          <t>M24</t>
        </is>
      </c>
      <c r="C1105" s="12" t="inlineStr">
        <is>
          <t>Francia</t>
        </is>
      </c>
      <c r="D1105" s="12" t="inlineStr">
        <is>
          <t>Inglaterra</t>
        </is>
      </c>
      <c r="E1105" s="8" t="n"/>
      <c r="F1105" s="8" t="n"/>
      <c r="G1105" s="8">
        <f>IF(OR(ISBLANK(E1105),ISBLANK(F1105)),"",IF(E1105&gt;F1105,"Local",IF(E1105=F1105,"Empate","Visitante")))</f>
        <v/>
      </c>
      <c r="H1105" s="8">
        <f>IF(VLOOKUP(B1105,PARTIDOS!$A:$I,9,FALSE)="Cerrado",IF(G1105=VLOOKUP(B1105,PARTIDOS!$A:$I,8,FALSE),IF(AND(E1105=VLOOKUP(B1105,PARTIDOS!$A:$I,6,FALSE),F1105=VLOOKUP(B1105,PARTIDOS!$A:$I,7,FALSE)),3,1),0),"")</f>
        <v/>
      </c>
    </row>
    <row r="1106" ht="20.1" customHeight="1">
      <c r="A1106" s="12" t="inlineStr">
        <is>
          <t>Jugador 16</t>
        </is>
      </c>
      <c r="B1106" s="8" t="inlineStr">
        <is>
          <t>M25</t>
        </is>
      </c>
      <c r="C1106" s="12" t="inlineStr">
        <is>
          <t>Portugal</t>
        </is>
      </c>
      <c r="D1106" s="12" t="inlineStr">
        <is>
          <t>Bélgica</t>
        </is>
      </c>
      <c r="E1106" s="8" t="n"/>
      <c r="F1106" s="8" t="n"/>
      <c r="G1106" s="8">
        <f>IF(OR(ISBLANK(E1106),ISBLANK(F1106)),"",IF(E1106&gt;F1106,"Local",IF(E1106=F1106,"Empate","Visitante")))</f>
        <v/>
      </c>
      <c r="H1106" s="8">
        <f>IF(VLOOKUP(B1106,PARTIDOS!$A:$I,9,FALSE)="Cerrado",IF(G1106=VLOOKUP(B1106,PARTIDOS!$A:$I,8,FALSE),IF(AND(E1106=VLOOKUP(B1106,PARTIDOS!$A:$I,6,FALSE),F1106=VLOOKUP(B1106,PARTIDOS!$A:$I,7,FALSE)),3,1),0),"")</f>
        <v/>
      </c>
    </row>
    <row r="1107" ht="20.1" customHeight="1">
      <c r="A1107" s="12" t="inlineStr">
        <is>
          <t>Jugador 16</t>
        </is>
      </c>
      <c r="B1107" s="8" t="inlineStr">
        <is>
          <t>M26</t>
        </is>
      </c>
      <c r="C1107" s="12" t="inlineStr">
        <is>
          <t>Países Bajos</t>
        </is>
      </c>
      <c r="D1107" s="12" t="inlineStr">
        <is>
          <t>Italia</t>
        </is>
      </c>
      <c r="E1107" s="8" t="n"/>
      <c r="F1107" s="8" t="n"/>
      <c r="G1107" s="8">
        <f>IF(OR(ISBLANK(E1107),ISBLANK(F1107)),"",IF(E1107&gt;F1107,"Local",IF(E1107=F1107,"Empate","Visitante")))</f>
        <v/>
      </c>
      <c r="H1107" s="8">
        <f>IF(VLOOKUP(B1107,PARTIDOS!$A:$I,9,FALSE)="Cerrado",IF(G1107=VLOOKUP(B1107,PARTIDOS!$A:$I,8,FALSE),IF(AND(E1107=VLOOKUP(B1107,PARTIDOS!$A:$I,6,FALSE),F1107=VLOOKUP(B1107,PARTIDOS!$A:$I,7,FALSE)),3,1),0),"")</f>
        <v/>
      </c>
    </row>
    <row r="1108" ht="20.1" customHeight="1">
      <c r="A1108" s="12" t="inlineStr">
        <is>
          <t>Jugador 16</t>
        </is>
      </c>
      <c r="B1108" s="8" t="inlineStr">
        <is>
          <t>M27</t>
        </is>
      </c>
      <c r="C1108" s="12" t="inlineStr">
        <is>
          <t>Portugal</t>
        </is>
      </c>
      <c r="D1108" s="12" t="inlineStr">
        <is>
          <t>Países Bajos</t>
        </is>
      </c>
      <c r="E1108" s="8" t="n"/>
      <c r="F1108" s="8" t="n"/>
      <c r="G1108" s="8">
        <f>IF(OR(ISBLANK(E1108),ISBLANK(F1108)),"",IF(E1108&gt;F1108,"Local",IF(E1108=F1108,"Empate","Visitante")))</f>
        <v/>
      </c>
      <c r="H1108" s="8">
        <f>IF(VLOOKUP(B1108,PARTIDOS!$A:$I,9,FALSE)="Cerrado",IF(G1108=VLOOKUP(B1108,PARTIDOS!$A:$I,8,FALSE),IF(AND(E1108=VLOOKUP(B1108,PARTIDOS!$A:$I,6,FALSE),F1108=VLOOKUP(B1108,PARTIDOS!$A:$I,7,FALSE)),3,1),0),"")</f>
        <v/>
      </c>
    </row>
    <row r="1109" ht="20.1" customHeight="1">
      <c r="A1109" s="12" t="inlineStr">
        <is>
          <t>Jugador 16</t>
        </is>
      </c>
      <c r="B1109" s="8" t="inlineStr">
        <is>
          <t>M28</t>
        </is>
      </c>
      <c r="C1109" s="12" t="inlineStr">
        <is>
          <t>Bélgica</t>
        </is>
      </c>
      <c r="D1109" s="12" t="inlineStr">
        <is>
          <t>Italia</t>
        </is>
      </c>
      <c r="E1109" s="8" t="n"/>
      <c r="F1109" s="8" t="n"/>
      <c r="G1109" s="8">
        <f>IF(OR(ISBLANK(E1109),ISBLANK(F1109)),"",IF(E1109&gt;F1109,"Local",IF(E1109=F1109,"Empate","Visitante")))</f>
        <v/>
      </c>
      <c r="H1109" s="8">
        <f>IF(VLOOKUP(B1109,PARTIDOS!$A:$I,9,FALSE)="Cerrado",IF(G1109=VLOOKUP(B1109,PARTIDOS!$A:$I,8,FALSE),IF(AND(E1109=VLOOKUP(B1109,PARTIDOS!$A:$I,6,FALSE),F1109=VLOOKUP(B1109,PARTIDOS!$A:$I,7,FALSE)),3,1),0),"")</f>
        <v/>
      </c>
    </row>
    <row r="1110" ht="20.1" customHeight="1">
      <c r="A1110" s="12" t="inlineStr">
        <is>
          <t>Jugador 16</t>
        </is>
      </c>
      <c r="B1110" s="8" t="inlineStr">
        <is>
          <t>M29</t>
        </is>
      </c>
      <c r="C1110" s="12" t="inlineStr">
        <is>
          <t>Portugal</t>
        </is>
      </c>
      <c r="D1110" s="12" t="inlineStr">
        <is>
          <t>Italia</t>
        </is>
      </c>
      <c r="E1110" s="8" t="n"/>
      <c r="F1110" s="8" t="n"/>
      <c r="G1110" s="8">
        <f>IF(OR(ISBLANK(E1110),ISBLANK(F1110)),"",IF(E1110&gt;F1110,"Local",IF(E1110=F1110,"Empate","Visitante")))</f>
        <v/>
      </c>
      <c r="H1110" s="8">
        <f>IF(VLOOKUP(B1110,PARTIDOS!$A:$I,9,FALSE)="Cerrado",IF(G1110=VLOOKUP(B1110,PARTIDOS!$A:$I,8,FALSE),IF(AND(E1110=VLOOKUP(B1110,PARTIDOS!$A:$I,6,FALSE),F1110=VLOOKUP(B1110,PARTIDOS!$A:$I,7,FALSE)),3,1),0),"")</f>
        <v/>
      </c>
    </row>
    <row r="1111" ht="20.1" customHeight="1">
      <c r="A1111" s="12" t="inlineStr">
        <is>
          <t>Jugador 16</t>
        </is>
      </c>
      <c r="B1111" s="8" t="inlineStr">
        <is>
          <t>M30</t>
        </is>
      </c>
      <c r="C1111" s="12" t="inlineStr">
        <is>
          <t>Bélgica</t>
        </is>
      </c>
      <c r="D1111" s="12" t="inlineStr">
        <is>
          <t>Países Bajos</t>
        </is>
      </c>
      <c r="E1111" s="8" t="n"/>
      <c r="F1111" s="8" t="n"/>
      <c r="G1111" s="8">
        <f>IF(OR(ISBLANK(E1111),ISBLANK(F1111)),"",IF(E1111&gt;F1111,"Local",IF(E1111=F1111,"Empate","Visitante")))</f>
        <v/>
      </c>
      <c r="H1111" s="8">
        <f>IF(VLOOKUP(B1111,PARTIDOS!$A:$I,9,FALSE)="Cerrado",IF(G1111=VLOOKUP(B1111,PARTIDOS!$A:$I,8,FALSE),IF(AND(E1111=VLOOKUP(B1111,PARTIDOS!$A:$I,6,FALSE),F1111=VLOOKUP(B1111,PARTIDOS!$A:$I,7,FALSE)),3,1),0),"")</f>
        <v/>
      </c>
    </row>
    <row r="1112" ht="20.1" customHeight="1">
      <c r="A1112" s="12" t="inlineStr">
        <is>
          <t>Jugador 16</t>
        </is>
      </c>
      <c r="B1112" s="8" t="inlineStr">
        <is>
          <t>M31</t>
        </is>
      </c>
      <c r="C1112" s="12" t="inlineStr">
        <is>
          <t>Croacia</t>
        </is>
      </c>
      <c r="D1112" s="12" t="inlineStr">
        <is>
          <t>Suiza</t>
        </is>
      </c>
      <c r="E1112" s="8" t="n"/>
      <c r="F1112" s="8" t="n"/>
      <c r="G1112" s="8">
        <f>IF(OR(ISBLANK(E1112),ISBLANK(F1112)),"",IF(E1112&gt;F1112,"Local",IF(E1112=F1112,"Empate","Visitante")))</f>
        <v/>
      </c>
      <c r="H1112" s="8">
        <f>IF(VLOOKUP(B1112,PARTIDOS!$A:$I,9,FALSE)="Cerrado",IF(G1112=VLOOKUP(B1112,PARTIDOS!$A:$I,8,FALSE),IF(AND(E1112=VLOOKUP(B1112,PARTIDOS!$A:$I,6,FALSE),F1112=VLOOKUP(B1112,PARTIDOS!$A:$I,7,FALSE)),3,1),0),"")</f>
        <v/>
      </c>
    </row>
    <row r="1113" ht="20.1" customHeight="1">
      <c r="A1113" s="12" t="inlineStr">
        <is>
          <t>Jugador 16</t>
        </is>
      </c>
      <c r="B1113" s="8" t="inlineStr">
        <is>
          <t>M32</t>
        </is>
      </c>
      <c r="C1113" s="12" t="inlineStr">
        <is>
          <t>Dinamarca</t>
        </is>
      </c>
      <c r="D1113" s="12" t="inlineStr">
        <is>
          <t>Serbia</t>
        </is>
      </c>
      <c r="E1113" s="8" t="n"/>
      <c r="F1113" s="8" t="n"/>
      <c r="G1113" s="8">
        <f>IF(OR(ISBLANK(E1113),ISBLANK(F1113)),"",IF(E1113&gt;F1113,"Local",IF(E1113=F1113,"Empate","Visitante")))</f>
        <v/>
      </c>
      <c r="H1113" s="8">
        <f>IF(VLOOKUP(B1113,PARTIDOS!$A:$I,9,FALSE)="Cerrado",IF(G1113=VLOOKUP(B1113,PARTIDOS!$A:$I,8,FALSE),IF(AND(E1113=VLOOKUP(B1113,PARTIDOS!$A:$I,6,FALSE),F1113=VLOOKUP(B1113,PARTIDOS!$A:$I,7,FALSE)),3,1),0),"")</f>
        <v/>
      </c>
    </row>
    <row r="1114" ht="20.1" customHeight="1">
      <c r="A1114" s="12" t="inlineStr">
        <is>
          <t>Jugador 16</t>
        </is>
      </c>
      <c r="B1114" s="8" t="inlineStr">
        <is>
          <t>M33</t>
        </is>
      </c>
      <c r="C1114" s="12" t="inlineStr">
        <is>
          <t>Croacia</t>
        </is>
      </c>
      <c r="D1114" s="12" t="inlineStr">
        <is>
          <t>Dinamarca</t>
        </is>
      </c>
      <c r="E1114" s="8" t="n"/>
      <c r="F1114" s="8" t="n"/>
      <c r="G1114" s="8">
        <f>IF(OR(ISBLANK(E1114),ISBLANK(F1114)),"",IF(E1114&gt;F1114,"Local",IF(E1114=F1114,"Empate","Visitante")))</f>
        <v/>
      </c>
      <c r="H1114" s="8">
        <f>IF(VLOOKUP(B1114,PARTIDOS!$A:$I,9,FALSE)="Cerrado",IF(G1114=VLOOKUP(B1114,PARTIDOS!$A:$I,8,FALSE),IF(AND(E1114=VLOOKUP(B1114,PARTIDOS!$A:$I,6,FALSE),F1114=VLOOKUP(B1114,PARTIDOS!$A:$I,7,FALSE)),3,1),0),"")</f>
        <v/>
      </c>
    </row>
    <row r="1115" ht="20.1" customHeight="1">
      <c r="A1115" s="12" t="inlineStr">
        <is>
          <t>Jugador 16</t>
        </is>
      </c>
      <c r="B1115" s="8" t="inlineStr">
        <is>
          <t>M34</t>
        </is>
      </c>
      <c r="C1115" s="12" t="inlineStr">
        <is>
          <t>Suiza</t>
        </is>
      </c>
      <c r="D1115" s="12" t="inlineStr">
        <is>
          <t>Serbia</t>
        </is>
      </c>
      <c r="E1115" s="8" t="n"/>
      <c r="F1115" s="8" t="n"/>
      <c r="G1115" s="8">
        <f>IF(OR(ISBLANK(E1115),ISBLANK(F1115)),"",IF(E1115&gt;F1115,"Local",IF(E1115=F1115,"Empate","Visitante")))</f>
        <v/>
      </c>
      <c r="H1115" s="8">
        <f>IF(VLOOKUP(B1115,PARTIDOS!$A:$I,9,FALSE)="Cerrado",IF(G1115=VLOOKUP(B1115,PARTIDOS!$A:$I,8,FALSE),IF(AND(E1115=VLOOKUP(B1115,PARTIDOS!$A:$I,6,FALSE),F1115=VLOOKUP(B1115,PARTIDOS!$A:$I,7,FALSE)),3,1),0),"")</f>
        <v/>
      </c>
    </row>
    <row r="1116" ht="20.1" customHeight="1">
      <c r="A1116" s="12" t="inlineStr">
        <is>
          <t>Jugador 16</t>
        </is>
      </c>
      <c r="B1116" s="8" t="inlineStr">
        <is>
          <t>M35</t>
        </is>
      </c>
      <c r="C1116" s="12" t="inlineStr">
        <is>
          <t>Croacia</t>
        </is>
      </c>
      <c r="D1116" s="12" t="inlineStr">
        <is>
          <t>Serbia</t>
        </is>
      </c>
      <c r="E1116" s="8" t="n"/>
      <c r="F1116" s="8" t="n"/>
      <c r="G1116" s="8">
        <f>IF(OR(ISBLANK(E1116),ISBLANK(F1116)),"",IF(E1116&gt;F1116,"Local",IF(E1116=F1116,"Empate","Visitante")))</f>
        <v/>
      </c>
      <c r="H1116" s="8">
        <f>IF(VLOOKUP(B1116,PARTIDOS!$A:$I,9,FALSE)="Cerrado",IF(G1116=VLOOKUP(B1116,PARTIDOS!$A:$I,8,FALSE),IF(AND(E1116=VLOOKUP(B1116,PARTIDOS!$A:$I,6,FALSE),F1116=VLOOKUP(B1116,PARTIDOS!$A:$I,7,FALSE)),3,1),0),"")</f>
        <v/>
      </c>
    </row>
    <row r="1117" ht="20.1" customHeight="1">
      <c r="A1117" s="12" t="inlineStr">
        <is>
          <t>Jugador 16</t>
        </is>
      </c>
      <c r="B1117" s="8" t="inlineStr">
        <is>
          <t>M36</t>
        </is>
      </c>
      <c r="C1117" s="12" t="inlineStr">
        <is>
          <t>Suiza</t>
        </is>
      </c>
      <c r="D1117" s="12" t="inlineStr">
        <is>
          <t>Dinamarca</t>
        </is>
      </c>
      <c r="E1117" s="8" t="n"/>
      <c r="F1117" s="8" t="n"/>
      <c r="G1117" s="8">
        <f>IF(OR(ISBLANK(E1117),ISBLANK(F1117)),"",IF(E1117&gt;F1117,"Local",IF(E1117=F1117,"Empate","Visitante")))</f>
        <v/>
      </c>
      <c r="H1117" s="8">
        <f>IF(VLOOKUP(B1117,PARTIDOS!$A:$I,9,FALSE)="Cerrado",IF(G1117=VLOOKUP(B1117,PARTIDOS!$A:$I,8,FALSE),IF(AND(E1117=VLOOKUP(B1117,PARTIDOS!$A:$I,6,FALSE),F1117=VLOOKUP(B1117,PARTIDOS!$A:$I,7,FALSE)),3,1),0),"")</f>
        <v/>
      </c>
    </row>
    <row r="1118" ht="20.1" customHeight="1">
      <c r="A1118" s="12" t="inlineStr">
        <is>
          <t>Jugador 16</t>
        </is>
      </c>
      <c r="B1118" s="8" t="inlineStr">
        <is>
          <t>M37</t>
        </is>
      </c>
      <c r="C1118" s="12" t="inlineStr">
        <is>
          <t>Polonia</t>
        </is>
      </c>
      <c r="D1118" s="12" t="inlineStr">
        <is>
          <t>Ucrania</t>
        </is>
      </c>
      <c r="E1118" s="8" t="n"/>
      <c r="F1118" s="8" t="n"/>
      <c r="G1118" s="8">
        <f>IF(OR(ISBLANK(E1118),ISBLANK(F1118)),"",IF(E1118&gt;F1118,"Local",IF(E1118=F1118,"Empate","Visitante")))</f>
        <v/>
      </c>
      <c r="H1118" s="8">
        <f>IF(VLOOKUP(B1118,PARTIDOS!$A:$I,9,FALSE)="Cerrado",IF(G1118=VLOOKUP(B1118,PARTIDOS!$A:$I,8,FALSE),IF(AND(E1118=VLOOKUP(B1118,PARTIDOS!$A:$I,6,FALSE),F1118=VLOOKUP(B1118,PARTIDOS!$A:$I,7,FALSE)),3,1),0),"")</f>
        <v/>
      </c>
    </row>
    <row r="1119" ht="20.1" customHeight="1">
      <c r="A1119" s="12" t="inlineStr">
        <is>
          <t>Jugador 16</t>
        </is>
      </c>
      <c r="B1119" s="8" t="inlineStr">
        <is>
          <t>M38</t>
        </is>
      </c>
      <c r="C1119" s="12" t="inlineStr">
        <is>
          <t>Suecia</t>
        </is>
      </c>
      <c r="D1119" s="12" t="inlineStr">
        <is>
          <t>Gales</t>
        </is>
      </c>
      <c r="E1119" s="8" t="n"/>
      <c r="F1119" s="8" t="n"/>
      <c r="G1119" s="8">
        <f>IF(OR(ISBLANK(E1119),ISBLANK(F1119)),"",IF(E1119&gt;F1119,"Local",IF(E1119=F1119,"Empate","Visitante")))</f>
        <v/>
      </c>
      <c r="H1119" s="8">
        <f>IF(VLOOKUP(B1119,PARTIDOS!$A:$I,9,FALSE)="Cerrado",IF(G1119=VLOOKUP(B1119,PARTIDOS!$A:$I,8,FALSE),IF(AND(E1119=VLOOKUP(B1119,PARTIDOS!$A:$I,6,FALSE),F1119=VLOOKUP(B1119,PARTIDOS!$A:$I,7,FALSE)),3,1),0),"")</f>
        <v/>
      </c>
    </row>
    <row r="1120" ht="20.1" customHeight="1">
      <c r="A1120" s="12" t="inlineStr">
        <is>
          <t>Jugador 16</t>
        </is>
      </c>
      <c r="B1120" s="8" t="inlineStr">
        <is>
          <t>M39</t>
        </is>
      </c>
      <c r="C1120" s="12" t="inlineStr">
        <is>
          <t>Polonia</t>
        </is>
      </c>
      <c r="D1120" s="12" t="inlineStr">
        <is>
          <t>Suecia</t>
        </is>
      </c>
      <c r="E1120" s="8" t="n"/>
      <c r="F1120" s="8" t="n"/>
      <c r="G1120" s="8">
        <f>IF(OR(ISBLANK(E1120),ISBLANK(F1120)),"",IF(E1120&gt;F1120,"Local",IF(E1120=F1120,"Empate","Visitante")))</f>
        <v/>
      </c>
      <c r="H1120" s="8">
        <f>IF(VLOOKUP(B1120,PARTIDOS!$A:$I,9,FALSE)="Cerrado",IF(G1120=VLOOKUP(B1120,PARTIDOS!$A:$I,8,FALSE),IF(AND(E1120=VLOOKUP(B1120,PARTIDOS!$A:$I,6,FALSE),F1120=VLOOKUP(B1120,PARTIDOS!$A:$I,7,FALSE)),3,1),0),"")</f>
        <v/>
      </c>
    </row>
    <row r="1121" ht="20.1" customHeight="1">
      <c r="A1121" s="12" t="inlineStr">
        <is>
          <t>Jugador 16</t>
        </is>
      </c>
      <c r="B1121" s="8" t="inlineStr">
        <is>
          <t>M40</t>
        </is>
      </c>
      <c r="C1121" s="12" t="inlineStr">
        <is>
          <t>Ucrania</t>
        </is>
      </c>
      <c r="D1121" s="12" t="inlineStr">
        <is>
          <t>Gales</t>
        </is>
      </c>
      <c r="E1121" s="8" t="n"/>
      <c r="F1121" s="8" t="n"/>
      <c r="G1121" s="8">
        <f>IF(OR(ISBLANK(E1121),ISBLANK(F1121)),"",IF(E1121&gt;F1121,"Local",IF(E1121=F1121,"Empate","Visitante")))</f>
        <v/>
      </c>
      <c r="H1121" s="8">
        <f>IF(VLOOKUP(B1121,PARTIDOS!$A:$I,9,FALSE)="Cerrado",IF(G1121=VLOOKUP(B1121,PARTIDOS!$A:$I,8,FALSE),IF(AND(E1121=VLOOKUP(B1121,PARTIDOS!$A:$I,6,FALSE),F1121=VLOOKUP(B1121,PARTIDOS!$A:$I,7,FALSE)),3,1),0),"")</f>
        <v/>
      </c>
    </row>
    <row r="1122" ht="20.1" customHeight="1">
      <c r="A1122" s="12" t="inlineStr">
        <is>
          <t>Jugador 16</t>
        </is>
      </c>
      <c r="B1122" s="8" t="inlineStr">
        <is>
          <t>M41</t>
        </is>
      </c>
      <c r="C1122" s="12" t="inlineStr">
        <is>
          <t>Polonia</t>
        </is>
      </c>
      <c r="D1122" s="12" t="inlineStr">
        <is>
          <t>Gales</t>
        </is>
      </c>
      <c r="E1122" s="8" t="n"/>
      <c r="F1122" s="8" t="n"/>
      <c r="G1122" s="8">
        <f>IF(OR(ISBLANK(E1122),ISBLANK(F1122)),"",IF(E1122&gt;F1122,"Local",IF(E1122=F1122,"Empate","Visitante")))</f>
        <v/>
      </c>
      <c r="H1122" s="8">
        <f>IF(VLOOKUP(B1122,PARTIDOS!$A:$I,9,FALSE)="Cerrado",IF(G1122=VLOOKUP(B1122,PARTIDOS!$A:$I,8,FALSE),IF(AND(E1122=VLOOKUP(B1122,PARTIDOS!$A:$I,6,FALSE),F1122=VLOOKUP(B1122,PARTIDOS!$A:$I,7,FALSE)),3,1),0),"")</f>
        <v/>
      </c>
    </row>
    <row r="1123" ht="20.1" customHeight="1">
      <c r="A1123" s="12" t="inlineStr">
        <is>
          <t>Jugador 16</t>
        </is>
      </c>
      <c r="B1123" s="8" t="inlineStr">
        <is>
          <t>M42</t>
        </is>
      </c>
      <c r="C1123" s="12" t="inlineStr">
        <is>
          <t>Ucrania</t>
        </is>
      </c>
      <c r="D1123" s="12" t="inlineStr">
        <is>
          <t>Suecia</t>
        </is>
      </c>
      <c r="E1123" s="8" t="n"/>
      <c r="F1123" s="8" t="n"/>
      <c r="G1123" s="8">
        <f>IF(OR(ISBLANK(E1123),ISBLANK(F1123)),"",IF(E1123&gt;F1123,"Local",IF(E1123=F1123,"Empate","Visitante")))</f>
        <v/>
      </c>
      <c r="H1123" s="8">
        <f>IF(VLOOKUP(B1123,PARTIDOS!$A:$I,9,FALSE)="Cerrado",IF(G1123=VLOOKUP(B1123,PARTIDOS!$A:$I,8,FALSE),IF(AND(E1123=VLOOKUP(B1123,PARTIDOS!$A:$I,6,FALSE),F1123=VLOOKUP(B1123,PARTIDOS!$A:$I,7,FALSE)),3,1),0),"")</f>
        <v/>
      </c>
    </row>
    <row r="1124" ht="20.1" customHeight="1">
      <c r="A1124" s="12" t="inlineStr">
        <is>
          <t>Jugador 16</t>
        </is>
      </c>
      <c r="B1124" s="8" t="inlineStr">
        <is>
          <t>M43</t>
        </is>
      </c>
      <c r="C1124" s="12" t="inlineStr">
        <is>
          <t>Austria</t>
        </is>
      </c>
      <c r="D1124" s="12" t="inlineStr">
        <is>
          <t>Hungría</t>
        </is>
      </c>
      <c r="E1124" s="8" t="n"/>
      <c r="F1124" s="8" t="n"/>
      <c r="G1124" s="8">
        <f>IF(OR(ISBLANK(E1124),ISBLANK(F1124)),"",IF(E1124&gt;F1124,"Local",IF(E1124=F1124,"Empate","Visitante")))</f>
        <v/>
      </c>
      <c r="H1124" s="8">
        <f>IF(VLOOKUP(B1124,PARTIDOS!$A:$I,9,FALSE)="Cerrado",IF(G1124=VLOOKUP(B1124,PARTIDOS!$A:$I,8,FALSE),IF(AND(E1124=VLOOKUP(B1124,PARTIDOS!$A:$I,6,FALSE),F1124=VLOOKUP(B1124,PARTIDOS!$A:$I,7,FALSE)),3,1),0),"")</f>
        <v/>
      </c>
    </row>
    <row r="1125" ht="20.1" customHeight="1">
      <c r="A1125" s="12" t="inlineStr">
        <is>
          <t>Jugador 16</t>
        </is>
      </c>
      <c r="B1125" s="8" t="inlineStr">
        <is>
          <t>M44</t>
        </is>
      </c>
      <c r="C1125" s="12" t="inlineStr">
        <is>
          <t>Turquía</t>
        </is>
      </c>
      <c r="D1125" s="12" t="inlineStr">
        <is>
          <t>Escocia</t>
        </is>
      </c>
      <c r="E1125" s="8" t="n"/>
      <c r="F1125" s="8" t="n"/>
      <c r="G1125" s="8">
        <f>IF(OR(ISBLANK(E1125),ISBLANK(F1125)),"",IF(E1125&gt;F1125,"Local",IF(E1125=F1125,"Empate","Visitante")))</f>
        <v/>
      </c>
      <c r="H1125" s="8">
        <f>IF(VLOOKUP(B1125,PARTIDOS!$A:$I,9,FALSE)="Cerrado",IF(G1125=VLOOKUP(B1125,PARTIDOS!$A:$I,8,FALSE),IF(AND(E1125=VLOOKUP(B1125,PARTIDOS!$A:$I,6,FALSE),F1125=VLOOKUP(B1125,PARTIDOS!$A:$I,7,FALSE)),3,1),0),"")</f>
        <v/>
      </c>
    </row>
    <row r="1126" ht="20.1" customHeight="1">
      <c r="A1126" s="12" t="inlineStr">
        <is>
          <t>Jugador 16</t>
        </is>
      </c>
      <c r="B1126" s="8" t="inlineStr">
        <is>
          <t>M45</t>
        </is>
      </c>
      <c r="C1126" s="12" t="inlineStr">
        <is>
          <t>Austria</t>
        </is>
      </c>
      <c r="D1126" s="12" t="inlineStr">
        <is>
          <t>Turquía</t>
        </is>
      </c>
      <c r="E1126" s="8" t="n"/>
      <c r="F1126" s="8" t="n"/>
      <c r="G1126" s="8">
        <f>IF(OR(ISBLANK(E1126),ISBLANK(F1126)),"",IF(E1126&gt;F1126,"Local",IF(E1126=F1126,"Empate","Visitante")))</f>
        <v/>
      </c>
      <c r="H1126" s="8">
        <f>IF(VLOOKUP(B1126,PARTIDOS!$A:$I,9,FALSE)="Cerrado",IF(G1126=VLOOKUP(B1126,PARTIDOS!$A:$I,8,FALSE),IF(AND(E1126=VLOOKUP(B1126,PARTIDOS!$A:$I,6,FALSE),F1126=VLOOKUP(B1126,PARTIDOS!$A:$I,7,FALSE)),3,1),0),"")</f>
        <v/>
      </c>
    </row>
    <row r="1127" ht="20.1" customHeight="1">
      <c r="A1127" s="12" t="inlineStr">
        <is>
          <t>Jugador 16</t>
        </is>
      </c>
      <c r="B1127" s="8" t="inlineStr">
        <is>
          <t>M46</t>
        </is>
      </c>
      <c r="C1127" s="12" t="inlineStr">
        <is>
          <t>Hungría</t>
        </is>
      </c>
      <c r="D1127" s="12" t="inlineStr">
        <is>
          <t>Escocia</t>
        </is>
      </c>
      <c r="E1127" s="8" t="n"/>
      <c r="F1127" s="8" t="n"/>
      <c r="G1127" s="8">
        <f>IF(OR(ISBLANK(E1127),ISBLANK(F1127)),"",IF(E1127&gt;F1127,"Local",IF(E1127=F1127,"Empate","Visitante")))</f>
        <v/>
      </c>
      <c r="H1127" s="8">
        <f>IF(VLOOKUP(B1127,PARTIDOS!$A:$I,9,FALSE)="Cerrado",IF(G1127=VLOOKUP(B1127,PARTIDOS!$A:$I,8,FALSE),IF(AND(E1127=VLOOKUP(B1127,PARTIDOS!$A:$I,6,FALSE),F1127=VLOOKUP(B1127,PARTIDOS!$A:$I,7,FALSE)),3,1),0),"")</f>
        <v/>
      </c>
    </row>
    <row r="1128" ht="20.1" customHeight="1">
      <c r="A1128" s="12" t="inlineStr">
        <is>
          <t>Jugador 16</t>
        </is>
      </c>
      <c r="B1128" s="8" t="inlineStr">
        <is>
          <t>M47</t>
        </is>
      </c>
      <c r="C1128" s="12" t="inlineStr">
        <is>
          <t>Austria</t>
        </is>
      </c>
      <c r="D1128" s="12" t="inlineStr">
        <is>
          <t>Escocia</t>
        </is>
      </c>
      <c r="E1128" s="8" t="n"/>
      <c r="F1128" s="8" t="n"/>
      <c r="G1128" s="8">
        <f>IF(OR(ISBLANK(E1128),ISBLANK(F1128)),"",IF(E1128&gt;F1128,"Local",IF(E1128=F1128,"Empate","Visitante")))</f>
        <v/>
      </c>
      <c r="H1128" s="8">
        <f>IF(VLOOKUP(B1128,PARTIDOS!$A:$I,9,FALSE)="Cerrado",IF(G1128=VLOOKUP(B1128,PARTIDOS!$A:$I,8,FALSE),IF(AND(E1128=VLOOKUP(B1128,PARTIDOS!$A:$I,6,FALSE),F1128=VLOOKUP(B1128,PARTIDOS!$A:$I,7,FALSE)),3,1),0),"")</f>
        <v/>
      </c>
    </row>
    <row r="1129" ht="20.1" customHeight="1">
      <c r="A1129" s="12" t="inlineStr">
        <is>
          <t>Jugador 16</t>
        </is>
      </c>
      <c r="B1129" s="8" t="inlineStr">
        <is>
          <t>M48</t>
        </is>
      </c>
      <c r="C1129" s="12" t="inlineStr">
        <is>
          <t>Hungría</t>
        </is>
      </c>
      <c r="D1129" s="12" t="inlineStr">
        <is>
          <t>Turquía</t>
        </is>
      </c>
      <c r="E1129" s="8" t="n"/>
      <c r="F1129" s="8" t="n"/>
      <c r="G1129" s="8">
        <f>IF(OR(ISBLANK(E1129),ISBLANK(F1129)),"",IF(E1129&gt;F1129,"Local",IF(E1129=F1129,"Empate","Visitante")))</f>
        <v/>
      </c>
      <c r="H1129" s="8">
        <f>IF(VLOOKUP(B1129,PARTIDOS!$A:$I,9,FALSE)="Cerrado",IF(G1129=VLOOKUP(B1129,PARTIDOS!$A:$I,8,FALSE),IF(AND(E1129=VLOOKUP(B1129,PARTIDOS!$A:$I,6,FALSE),F1129=VLOOKUP(B1129,PARTIDOS!$A:$I,7,FALSE)),3,1),0),"")</f>
        <v/>
      </c>
    </row>
    <row r="1130" ht="20.1" customHeight="1">
      <c r="A1130" s="12" t="inlineStr">
        <is>
          <t>Jugador 16</t>
        </is>
      </c>
      <c r="B1130" s="8" t="inlineStr">
        <is>
          <t>M49</t>
        </is>
      </c>
      <c r="C1130" s="12" t="inlineStr">
        <is>
          <t>República Checa</t>
        </is>
      </c>
      <c r="D1130" s="12" t="inlineStr">
        <is>
          <t>Noruega</t>
        </is>
      </c>
      <c r="E1130" s="8" t="n"/>
      <c r="F1130" s="8" t="n"/>
      <c r="G1130" s="8">
        <f>IF(OR(ISBLANK(E1130),ISBLANK(F1130)),"",IF(E1130&gt;F1130,"Local",IF(E1130=F1130,"Empate","Visitante")))</f>
        <v/>
      </c>
      <c r="H1130" s="8">
        <f>IF(VLOOKUP(B1130,PARTIDOS!$A:$I,9,FALSE)="Cerrado",IF(G1130=VLOOKUP(B1130,PARTIDOS!$A:$I,8,FALSE),IF(AND(E1130=VLOOKUP(B1130,PARTIDOS!$A:$I,6,FALSE),F1130=VLOOKUP(B1130,PARTIDOS!$A:$I,7,FALSE)),3,1),0),"")</f>
        <v/>
      </c>
    </row>
    <row r="1131" ht="20.1" customHeight="1">
      <c r="A1131" s="12" t="inlineStr">
        <is>
          <t>Jugador 16</t>
        </is>
      </c>
      <c r="B1131" s="8" t="inlineStr">
        <is>
          <t>M50</t>
        </is>
      </c>
      <c r="C1131" s="12" t="inlineStr">
        <is>
          <t>Japón</t>
        </is>
      </c>
      <c r="D1131" s="12" t="inlineStr">
        <is>
          <t>Irán</t>
        </is>
      </c>
      <c r="E1131" s="8" t="n"/>
      <c r="F1131" s="8" t="n"/>
      <c r="G1131" s="8">
        <f>IF(OR(ISBLANK(E1131),ISBLANK(F1131)),"",IF(E1131&gt;F1131,"Local",IF(E1131=F1131,"Empate","Visitante")))</f>
        <v/>
      </c>
      <c r="H1131" s="8">
        <f>IF(VLOOKUP(B1131,PARTIDOS!$A:$I,9,FALSE)="Cerrado",IF(G1131=VLOOKUP(B1131,PARTIDOS!$A:$I,8,FALSE),IF(AND(E1131=VLOOKUP(B1131,PARTIDOS!$A:$I,6,FALSE),F1131=VLOOKUP(B1131,PARTIDOS!$A:$I,7,FALSE)),3,1),0),"")</f>
        <v/>
      </c>
    </row>
    <row r="1132" ht="20.1" customHeight="1">
      <c r="A1132" s="12" t="inlineStr">
        <is>
          <t>Jugador 16</t>
        </is>
      </c>
      <c r="B1132" s="8" t="inlineStr">
        <is>
          <t>M51</t>
        </is>
      </c>
      <c r="C1132" s="12" t="inlineStr">
        <is>
          <t>República Checa</t>
        </is>
      </c>
      <c r="D1132" s="12" t="inlineStr">
        <is>
          <t>Japón</t>
        </is>
      </c>
      <c r="E1132" s="8" t="n"/>
      <c r="F1132" s="8" t="n"/>
      <c r="G1132" s="8">
        <f>IF(OR(ISBLANK(E1132),ISBLANK(F1132)),"",IF(E1132&gt;F1132,"Local",IF(E1132=F1132,"Empate","Visitante")))</f>
        <v/>
      </c>
      <c r="H1132" s="8">
        <f>IF(VLOOKUP(B1132,PARTIDOS!$A:$I,9,FALSE)="Cerrado",IF(G1132=VLOOKUP(B1132,PARTIDOS!$A:$I,8,FALSE),IF(AND(E1132=VLOOKUP(B1132,PARTIDOS!$A:$I,6,FALSE),F1132=VLOOKUP(B1132,PARTIDOS!$A:$I,7,FALSE)),3,1),0),"")</f>
        <v/>
      </c>
    </row>
    <row r="1133" ht="20.1" customHeight="1">
      <c r="A1133" s="12" t="inlineStr">
        <is>
          <t>Jugador 16</t>
        </is>
      </c>
      <c r="B1133" s="8" t="inlineStr">
        <is>
          <t>M52</t>
        </is>
      </c>
      <c r="C1133" s="12" t="inlineStr">
        <is>
          <t>Noruega</t>
        </is>
      </c>
      <c r="D1133" s="12" t="inlineStr">
        <is>
          <t>Irán</t>
        </is>
      </c>
      <c r="E1133" s="8" t="n"/>
      <c r="F1133" s="8" t="n"/>
      <c r="G1133" s="8">
        <f>IF(OR(ISBLANK(E1133),ISBLANK(F1133)),"",IF(E1133&gt;F1133,"Local",IF(E1133=F1133,"Empate","Visitante")))</f>
        <v/>
      </c>
      <c r="H1133" s="8">
        <f>IF(VLOOKUP(B1133,PARTIDOS!$A:$I,9,FALSE)="Cerrado",IF(G1133=VLOOKUP(B1133,PARTIDOS!$A:$I,8,FALSE),IF(AND(E1133=VLOOKUP(B1133,PARTIDOS!$A:$I,6,FALSE),F1133=VLOOKUP(B1133,PARTIDOS!$A:$I,7,FALSE)),3,1),0),"")</f>
        <v/>
      </c>
    </row>
    <row r="1134" ht="20.1" customHeight="1">
      <c r="A1134" s="12" t="inlineStr">
        <is>
          <t>Jugador 16</t>
        </is>
      </c>
      <c r="B1134" s="8" t="inlineStr">
        <is>
          <t>M53</t>
        </is>
      </c>
      <c r="C1134" s="12" t="inlineStr">
        <is>
          <t>República Checa</t>
        </is>
      </c>
      <c r="D1134" s="12" t="inlineStr">
        <is>
          <t>Irán</t>
        </is>
      </c>
      <c r="E1134" s="8" t="n"/>
      <c r="F1134" s="8" t="n"/>
      <c r="G1134" s="8">
        <f>IF(OR(ISBLANK(E1134),ISBLANK(F1134)),"",IF(E1134&gt;F1134,"Local",IF(E1134=F1134,"Empate","Visitante")))</f>
        <v/>
      </c>
      <c r="H1134" s="8">
        <f>IF(VLOOKUP(B1134,PARTIDOS!$A:$I,9,FALSE)="Cerrado",IF(G1134=VLOOKUP(B1134,PARTIDOS!$A:$I,8,FALSE),IF(AND(E1134=VLOOKUP(B1134,PARTIDOS!$A:$I,6,FALSE),F1134=VLOOKUP(B1134,PARTIDOS!$A:$I,7,FALSE)),3,1),0),"")</f>
        <v/>
      </c>
    </row>
    <row r="1135" ht="20.1" customHeight="1">
      <c r="A1135" s="12" t="inlineStr">
        <is>
          <t>Jugador 16</t>
        </is>
      </c>
      <c r="B1135" s="8" t="inlineStr">
        <is>
          <t>M54</t>
        </is>
      </c>
      <c r="C1135" s="12" t="inlineStr">
        <is>
          <t>Noruega</t>
        </is>
      </c>
      <c r="D1135" s="12" t="inlineStr">
        <is>
          <t>Japón</t>
        </is>
      </c>
      <c r="E1135" s="8" t="n"/>
      <c r="F1135" s="8" t="n"/>
      <c r="G1135" s="8">
        <f>IF(OR(ISBLANK(E1135),ISBLANK(F1135)),"",IF(E1135&gt;F1135,"Local",IF(E1135=F1135,"Empate","Visitante")))</f>
        <v/>
      </c>
      <c r="H1135" s="8">
        <f>IF(VLOOKUP(B1135,PARTIDOS!$A:$I,9,FALSE)="Cerrado",IF(G1135=VLOOKUP(B1135,PARTIDOS!$A:$I,8,FALSE),IF(AND(E1135=VLOOKUP(B1135,PARTIDOS!$A:$I,6,FALSE),F1135=VLOOKUP(B1135,PARTIDOS!$A:$I,7,FALSE)),3,1),0),"")</f>
        <v/>
      </c>
    </row>
    <row r="1136" ht="20.1" customHeight="1">
      <c r="A1136" s="12" t="inlineStr">
        <is>
          <t>Jugador 16</t>
        </is>
      </c>
      <c r="B1136" s="8" t="inlineStr">
        <is>
          <t>M55</t>
        </is>
      </c>
      <c r="C1136" s="12" t="inlineStr">
        <is>
          <t>Corea del Sur</t>
        </is>
      </c>
      <c r="D1136" s="12" t="inlineStr">
        <is>
          <t>Australia</t>
        </is>
      </c>
      <c r="E1136" s="8" t="n"/>
      <c r="F1136" s="8" t="n"/>
      <c r="G1136" s="8">
        <f>IF(OR(ISBLANK(E1136),ISBLANK(F1136)),"",IF(E1136&gt;F1136,"Local",IF(E1136=F1136,"Empate","Visitante")))</f>
        <v/>
      </c>
      <c r="H1136" s="8">
        <f>IF(VLOOKUP(B1136,PARTIDOS!$A:$I,9,FALSE)="Cerrado",IF(G1136=VLOOKUP(B1136,PARTIDOS!$A:$I,8,FALSE),IF(AND(E1136=VLOOKUP(B1136,PARTIDOS!$A:$I,6,FALSE),F1136=VLOOKUP(B1136,PARTIDOS!$A:$I,7,FALSE)),3,1),0),"")</f>
        <v/>
      </c>
    </row>
    <row r="1137" ht="20.1" customHeight="1">
      <c r="A1137" s="12" t="inlineStr">
        <is>
          <t>Jugador 16</t>
        </is>
      </c>
      <c r="B1137" s="8" t="inlineStr">
        <is>
          <t>M56</t>
        </is>
      </c>
      <c r="C1137" s="12" t="inlineStr">
        <is>
          <t>Marruecos</t>
        </is>
      </c>
      <c r="D1137" s="12" t="inlineStr">
        <is>
          <t>Senegal</t>
        </is>
      </c>
      <c r="E1137" s="8" t="n"/>
      <c r="F1137" s="8" t="n"/>
      <c r="G1137" s="8">
        <f>IF(OR(ISBLANK(E1137),ISBLANK(F1137)),"",IF(E1137&gt;F1137,"Local",IF(E1137=F1137,"Empate","Visitante")))</f>
        <v/>
      </c>
      <c r="H1137" s="8">
        <f>IF(VLOOKUP(B1137,PARTIDOS!$A:$I,9,FALSE)="Cerrado",IF(G1137=VLOOKUP(B1137,PARTIDOS!$A:$I,8,FALSE),IF(AND(E1137=VLOOKUP(B1137,PARTIDOS!$A:$I,6,FALSE),F1137=VLOOKUP(B1137,PARTIDOS!$A:$I,7,FALSE)),3,1),0),"")</f>
        <v/>
      </c>
    </row>
    <row r="1138" ht="20.1" customHeight="1">
      <c r="A1138" s="12" t="inlineStr">
        <is>
          <t>Jugador 16</t>
        </is>
      </c>
      <c r="B1138" s="8" t="inlineStr">
        <is>
          <t>M57</t>
        </is>
      </c>
      <c r="C1138" s="12" t="inlineStr">
        <is>
          <t>Corea del Sur</t>
        </is>
      </c>
      <c r="D1138" s="12" t="inlineStr">
        <is>
          <t>Marruecos</t>
        </is>
      </c>
      <c r="E1138" s="8" t="n"/>
      <c r="F1138" s="8" t="n"/>
      <c r="G1138" s="8">
        <f>IF(OR(ISBLANK(E1138),ISBLANK(F1138)),"",IF(E1138&gt;F1138,"Local",IF(E1138=F1138,"Empate","Visitante")))</f>
        <v/>
      </c>
      <c r="H1138" s="8">
        <f>IF(VLOOKUP(B1138,PARTIDOS!$A:$I,9,FALSE)="Cerrado",IF(G1138=VLOOKUP(B1138,PARTIDOS!$A:$I,8,FALSE),IF(AND(E1138=VLOOKUP(B1138,PARTIDOS!$A:$I,6,FALSE),F1138=VLOOKUP(B1138,PARTIDOS!$A:$I,7,FALSE)),3,1),0),"")</f>
        <v/>
      </c>
    </row>
    <row r="1139" ht="20.1" customHeight="1">
      <c r="A1139" s="12" t="inlineStr">
        <is>
          <t>Jugador 16</t>
        </is>
      </c>
      <c r="B1139" s="8" t="inlineStr">
        <is>
          <t>M58</t>
        </is>
      </c>
      <c r="C1139" s="12" t="inlineStr">
        <is>
          <t>Australia</t>
        </is>
      </c>
      <c r="D1139" s="12" t="inlineStr">
        <is>
          <t>Senegal</t>
        </is>
      </c>
      <c r="E1139" s="8" t="n"/>
      <c r="F1139" s="8" t="n"/>
      <c r="G1139" s="8">
        <f>IF(OR(ISBLANK(E1139),ISBLANK(F1139)),"",IF(E1139&gt;F1139,"Local",IF(E1139=F1139,"Empate","Visitante")))</f>
        <v/>
      </c>
      <c r="H1139" s="8">
        <f>IF(VLOOKUP(B1139,PARTIDOS!$A:$I,9,FALSE)="Cerrado",IF(G1139=VLOOKUP(B1139,PARTIDOS!$A:$I,8,FALSE),IF(AND(E1139=VLOOKUP(B1139,PARTIDOS!$A:$I,6,FALSE),F1139=VLOOKUP(B1139,PARTIDOS!$A:$I,7,FALSE)),3,1),0),"")</f>
        <v/>
      </c>
    </row>
    <row r="1140" ht="20.1" customHeight="1">
      <c r="A1140" s="12" t="inlineStr">
        <is>
          <t>Jugador 16</t>
        </is>
      </c>
      <c r="B1140" s="8" t="inlineStr">
        <is>
          <t>M59</t>
        </is>
      </c>
      <c r="C1140" s="12" t="inlineStr">
        <is>
          <t>Corea del Sur</t>
        </is>
      </c>
      <c r="D1140" s="12" t="inlineStr">
        <is>
          <t>Senegal</t>
        </is>
      </c>
      <c r="E1140" s="8" t="n"/>
      <c r="F1140" s="8" t="n"/>
      <c r="G1140" s="8">
        <f>IF(OR(ISBLANK(E1140),ISBLANK(F1140)),"",IF(E1140&gt;F1140,"Local",IF(E1140=F1140,"Empate","Visitante")))</f>
        <v/>
      </c>
      <c r="H1140" s="8">
        <f>IF(VLOOKUP(B1140,PARTIDOS!$A:$I,9,FALSE)="Cerrado",IF(G1140=VLOOKUP(B1140,PARTIDOS!$A:$I,8,FALSE),IF(AND(E1140=VLOOKUP(B1140,PARTIDOS!$A:$I,6,FALSE),F1140=VLOOKUP(B1140,PARTIDOS!$A:$I,7,FALSE)),3,1),0),"")</f>
        <v/>
      </c>
    </row>
    <row r="1141" ht="20.1" customHeight="1">
      <c r="A1141" s="12" t="inlineStr">
        <is>
          <t>Jugador 16</t>
        </is>
      </c>
      <c r="B1141" s="8" t="inlineStr">
        <is>
          <t>M60</t>
        </is>
      </c>
      <c r="C1141" s="12" t="inlineStr">
        <is>
          <t>Australia</t>
        </is>
      </c>
      <c r="D1141" s="12" t="inlineStr">
        <is>
          <t>Marruecos</t>
        </is>
      </c>
      <c r="E1141" s="8" t="n"/>
      <c r="F1141" s="8" t="n"/>
      <c r="G1141" s="8">
        <f>IF(OR(ISBLANK(E1141),ISBLANK(F1141)),"",IF(E1141&gt;F1141,"Local",IF(E1141=F1141,"Empate","Visitante")))</f>
        <v/>
      </c>
      <c r="H1141" s="8">
        <f>IF(VLOOKUP(B1141,PARTIDOS!$A:$I,9,FALSE)="Cerrado",IF(G1141=VLOOKUP(B1141,PARTIDOS!$A:$I,8,FALSE),IF(AND(E1141=VLOOKUP(B1141,PARTIDOS!$A:$I,6,FALSE),F1141=VLOOKUP(B1141,PARTIDOS!$A:$I,7,FALSE)),3,1),0),"")</f>
        <v/>
      </c>
    </row>
    <row r="1142" ht="20.1" customHeight="1">
      <c r="A1142" s="12" t="inlineStr">
        <is>
          <t>Jugador 16</t>
        </is>
      </c>
      <c r="B1142" s="8" t="inlineStr">
        <is>
          <t>M61</t>
        </is>
      </c>
      <c r="C1142" s="12" t="inlineStr">
        <is>
          <t>Túnez</t>
        </is>
      </c>
      <c r="D1142" s="12" t="inlineStr">
        <is>
          <t>Nigeria</t>
        </is>
      </c>
      <c r="E1142" s="8" t="n"/>
      <c r="F1142" s="8" t="n"/>
      <c r="G1142" s="8">
        <f>IF(OR(ISBLANK(E1142),ISBLANK(F1142)),"",IF(E1142&gt;F1142,"Local",IF(E1142=F1142,"Empate","Visitante")))</f>
        <v/>
      </c>
      <c r="H1142" s="8">
        <f>IF(VLOOKUP(B1142,PARTIDOS!$A:$I,9,FALSE)="Cerrado",IF(G1142=VLOOKUP(B1142,PARTIDOS!$A:$I,8,FALSE),IF(AND(E1142=VLOOKUP(B1142,PARTIDOS!$A:$I,6,FALSE),F1142=VLOOKUP(B1142,PARTIDOS!$A:$I,7,FALSE)),3,1),0),"")</f>
        <v/>
      </c>
    </row>
    <row r="1143" ht="20.1" customHeight="1">
      <c r="A1143" s="12" t="inlineStr">
        <is>
          <t>Jugador 16</t>
        </is>
      </c>
      <c r="B1143" s="8" t="inlineStr">
        <is>
          <t>M62</t>
        </is>
      </c>
      <c r="C1143" s="12" t="inlineStr">
        <is>
          <t>Camerún</t>
        </is>
      </c>
      <c r="D1143" s="12" t="inlineStr">
        <is>
          <t>Egipto</t>
        </is>
      </c>
      <c r="E1143" s="8" t="n"/>
      <c r="F1143" s="8" t="n"/>
      <c r="G1143" s="8">
        <f>IF(OR(ISBLANK(E1143),ISBLANK(F1143)),"",IF(E1143&gt;F1143,"Local",IF(E1143=F1143,"Empate","Visitante")))</f>
        <v/>
      </c>
      <c r="H1143" s="8">
        <f>IF(VLOOKUP(B1143,PARTIDOS!$A:$I,9,FALSE)="Cerrado",IF(G1143=VLOOKUP(B1143,PARTIDOS!$A:$I,8,FALSE),IF(AND(E1143=VLOOKUP(B1143,PARTIDOS!$A:$I,6,FALSE),F1143=VLOOKUP(B1143,PARTIDOS!$A:$I,7,FALSE)),3,1),0),"")</f>
        <v/>
      </c>
    </row>
    <row r="1144" ht="20.1" customHeight="1">
      <c r="A1144" s="12" t="inlineStr">
        <is>
          <t>Jugador 16</t>
        </is>
      </c>
      <c r="B1144" s="8" t="inlineStr">
        <is>
          <t>M63</t>
        </is>
      </c>
      <c r="C1144" s="12" t="inlineStr">
        <is>
          <t>Túnez</t>
        </is>
      </c>
      <c r="D1144" s="12" t="inlineStr">
        <is>
          <t>Camerún</t>
        </is>
      </c>
      <c r="E1144" s="8" t="n"/>
      <c r="F1144" s="8" t="n"/>
      <c r="G1144" s="8">
        <f>IF(OR(ISBLANK(E1144),ISBLANK(F1144)),"",IF(E1144&gt;F1144,"Local",IF(E1144=F1144,"Empate","Visitante")))</f>
        <v/>
      </c>
      <c r="H1144" s="8">
        <f>IF(VLOOKUP(B1144,PARTIDOS!$A:$I,9,FALSE)="Cerrado",IF(G1144=VLOOKUP(B1144,PARTIDOS!$A:$I,8,FALSE),IF(AND(E1144=VLOOKUP(B1144,PARTIDOS!$A:$I,6,FALSE),F1144=VLOOKUP(B1144,PARTIDOS!$A:$I,7,FALSE)),3,1),0),"")</f>
        <v/>
      </c>
    </row>
    <row r="1145" ht="20.1" customHeight="1">
      <c r="A1145" s="12" t="inlineStr">
        <is>
          <t>Jugador 16</t>
        </is>
      </c>
      <c r="B1145" s="8" t="inlineStr">
        <is>
          <t>M64</t>
        </is>
      </c>
      <c r="C1145" s="12" t="inlineStr">
        <is>
          <t>Nigeria</t>
        </is>
      </c>
      <c r="D1145" s="12" t="inlineStr">
        <is>
          <t>Egipto</t>
        </is>
      </c>
      <c r="E1145" s="8" t="n"/>
      <c r="F1145" s="8" t="n"/>
      <c r="G1145" s="8">
        <f>IF(OR(ISBLANK(E1145),ISBLANK(F1145)),"",IF(E1145&gt;F1145,"Local",IF(E1145=F1145,"Empate","Visitante")))</f>
        <v/>
      </c>
      <c r="H1145" s="8">
        <f>IF(VLOOKUP(B1145,PARTIDOS!$A:$I,9,FALSE)="Cerrado",IF(G1145=VLOOKUP(B1145,PARTIDOS!$A:$I,8,FALSE),IF(AND(E1145=VLOOKUP(B1145,PARTIDOS!$A:$I,6,FALSE),F1145=VLOOKUP(B1145,PARTIDOS!$A:$I,7,FALSE)),3,1),0),"")</f>
        <v/>
      </c>
    </row>
    <row r="1146" ht="20.1" customHeight="1">
      <c r="A1146" s="12" t="inlineStr">
        <is>
          <t>Jugador 16</t>
        </is>
      </c>
      <c r="B1146" s="8" t="inlineStr">
        <is>
          <t>M65</t>
        </is>
      </c>
      <c r="C1146" s="12" t="inlineStr">
        <is>
          <t>Túnez</t>
        </is>
      </c>
      <c r="D1146" s="12" t="inlineStr">
        <is>
          <t>Egipto</t>
        </is>
      </c>
      <c r="E1146" s="8" t="n"/>
      <c r="F1146" s="8" t="n"/>
      <c r="G1146" s="8">
        <f>IF(OR(ISBLANK(E1146),ISBLANK(F1146)),"",IF(E1146&gt;F1146,"Local",IF(E1146=F1146,"Empate","Visitante")))</f>
        <v/>
      </c>
      <c r="H1146" s="8">
        <f>IF(VLOOKUP(B1146,PARTIDOS!$A:$I,9,FALSE)="Cerrado",IF(G1146=VLOOKUP(B1146,PARTIDOS!$A:$I,8,FALSE),IF(AND(E1146=VLOOKUP(B1146,PARTIDOS!$A:$I,6,FALSE),F1146=VLOOKUP(B1146,PARTIDOS!$A:$I,7,FALSE)),3,1),0),"")</f>
        <v/>
      </c>
    </row>
    <row r="1147" ht="20.1" customHeight="1">
      <c r="A1147" s="12" t="inlineStr">
        <is>
          <t>Jugador 16</t>
        </is>
      </c>
      <c r="B1147" s="8" t="inlineStr">
        <is>
          <t>M66</t>
        </is>
      </c>
      <c r="C1147" s="12" t="inlineStr">
        <is>
          <t>Nigeria</t>
        </is>
      </c>
      <c r="D1147" s="12" t="inlineStr">
        <is>
          <t>Camerún</t>
        </is>
      </c>
      <c r="E1147" s="8" t="n"/>
      <c r="F1147" s="8" t="n"/>
      <c r="G1147" s="8">
        <f>IF(OR(ISBLANK(E1147),ISBLANK(F1147)),"",IF(E1147&gt;F1147,"Local",IF(E1147=F1147,"Empate","Visitante")))</f>
        <v/>
      </c>
      <c r="H1147" s="8">
        <f>IF(VLOOKUP(B1147,PARTIDOS!$A:$I,9,FALSE)="Cerrado",IF(G1147=VLOOKUP(B1147,PARTIDOS!$A:$I,8,FALSE),IF(AND(E1147=VLOOKUP(B1147,PARTIDOS!$A:$I,6,FALSE),F1147=VLOOKUP(B1147,PARTIDOS!$A:$I,7,FALSE)),3,1),0),"")</f>
        <v/>
      </c>
    </row>
    <row r="1148" ht="20.1" customHeight="1">
      <c r="A1148" s="12" t="inlineStr">
        <is>
          <t>Jugador 16</t>
        </is>
      </c>
      <c r="B1148" s="8" t="inlineStr">
        <is>
          <t>M67</t>
        </is>
      </c>
      <c r="C1148" s="12" t="inlineStr">
        <is>
          <t>Costa de Marfil</t>
        </is>
      </c>
      <c r="D1148" s="12" t="inlineStr">
        <is>
          <t>Sudáfrica</t>
        </is>
      </c>
      <c r="E1148" s="8" t="n"/>
      <c r="F1148" s="8" t="n"/>
      <c r="G1148" s="8">
        <f>IF(OR(ISBLANK(E1148),ISBLANK(F1148)),"",IF(E1148&gt;F1148,"Local",IF(E1148=F1148,"Empate","Visitante")))</f>
        <v/>
      </c>
      <c r="H1148" s="8">
        <f>IF(VLOOKUP(B1148,PARTIDOS!$A:$I,9,FALSE)="Cerrado",IF(G1148=VLOOKUP(B1148,PARTIDOS!$A:$I,8,FALSE),IF(AND(E1148=VLOOKUP(B1148,PARTIDOS!$A:$I,6,FALSE),F1148=VLOOKUP(B1148,PARTIDOS!$A:$I,7,FALSE)),3,1),0),"")</f>
        <v/>
      </c>
    </row>
    <row r="1149" ht="20.1" customHeight="1">
      <c r="A1149" s="12" t="inlineStr">
        <is>
          <t>Jugador 16</t>
        </is>
      </c>
      <c r="B1149" s="8" t="inlineStr">
        <is>
          <t>M68</t>
        </is>
      </c>
      <c r="C1149" s="12" t="inlineStr">
        <is>
          <t>Panáma</t>
        </is>
      </c>
      <c r="D1149" s="12" t="inlineStr">
        <is>
          <t>Nueva Zelanda</t>
        </is>
      </c>
      <c r="E1149" s="8" t="n"/>
      <c r="F1149" s="8" t="n"/>
      <c r="G1149" s="8">
        <f>IF(OR(ISBLANK(E1149),ISBLANK(F1149)),"",IF(E1149&gt;F1149,"Local",IF(E1149=F1149,"Empate","Visitante")))</f>
        <v/>
      </c>
      <c r="H1149" s="8">
        <f>IF(VLOOKUP(B1149,PARTIDOS!$A:$I,9,FALSE)="Cerrado",IF(G1149=VLOOKUP(B1149,PARTIDOS!$A:$I,8,FALSE),IF(AND(E1149=VLOOKUP(B1149,PARTIDOS!$A:$I,6,FALSE),F1149=VLOOKUP(B1149,PARTIDOS!$A:$I,7,FALSE)),3,1),0),"")</f>
        <v/>
      </c>
    </row>
    <row r="1150" ht="20.1" customHeight="1">
      <c r="A1150" s="12" t="inlineStr">
        <is>
          <t>Jugador 16</t>
        </is>
      </c>
      <c r="B1150" s="8" t="inlineStr">
        <is>
          <t>M69</t>
        </is>
      </c>
      <c r="C1150" s="12" t="inlineStr">
        <is>
          <t>Costa de Marfil</t>
        </is>
      </c>
      <c r="D1150" s="12" t="inlineStr">
        <is>
          <t>Panáma</t>
        </is>
      </c>
      <c r="E1150" s="8" t="n"/>
      <c r="F1150" s="8" t="n"/>
      <c r="G1150" s="8">
        <f>IF(OR(ISBLANK(E1150),ISBLANK(F1150)),"",IF(E1150&gt;F1150,"Local",IF(E1150=F1150,"Empate","Visitante")))</f>
        <v/>
      </c>
      <c r="H1150" s="8">
        <f>IF(VLOOKUP(B1150,PARTIDOS!$A:$I,9,FALSE)="Cerrado",IF(G1150=VLOOKUP(B1150,PARTIDOS!$A:$I,8,FALSE),IF(AND(E1150=VLOOKUP(B1150,PARTIDOS!$A:$I,6,FALSE),F1150=VLOOKUP(B1150,PARTIDOS!$A:$I,7,FALSE)),3,1),0),"")</f>
        <v/>
      </c>
    </row>
    <row r="1151" ht="20.1" customHeight="1">
      <c r="A1151" s="12" t="inlineStr">
        <is>
          <t>Jugador 16</t>
        </is>
      </c>
      <c r="B1151" s="8" t="inlineStr">
        <is>
          <t>M70</t>
        </is>
      </c>
      <c r="C1151" s="12" t="inlineStr">
        <is>
          <t>Sudáfrica</t>
        </is>
      </c>
      <c r="D1151" s="12" t="inlineStr">
        <is>
          <t>Nueva Zelanda</t>
        </is>
      </c>
      <c r="E1151" s="8" t="n"/>
      <c r="F1151" s="8" t="n"/>
      <c r="G1151" s="8">
        <f>IF(OR(ISBLANK(E1151),ISBLANK(F1151)),"",IF(E1151&gt;F1151,"Local",IF(E1151=F1151,"Empate","Visitante")))</f>
        <v/>
      </c>
      <c r="H1151" s="8">
        <f>IF(VLOOKUP(B1151,PARTIDOS!$A:$I,9,FALSE)="Cerrado",IF(G1151=VLOOKUP(B1151,PARTIDOS!$A:$I,8,FALSE),IF(AND(E1151=VLOOKUP(B1151,PARTIDOS!$A:$I,6,FALSE),F1151=VLOOKUP(B1151,PARTIDOS!$A:$I,7,FALSE)),3,1),0),"")</f>
        <v/>
      </c>
    </row>
    <row r="1152" ht="20.1" customHeight="1">
      <c r="A1152" s="12" t="inlineStr">
        <is>
          <t>Jugador 16</t>
        </is>
      </c>
      <c r="B1152" s="8" t="inlineStr">
        <is>
          <t>M71</t>
        </is>
      </c>
      <c r="C1152" s="12" t="inlineStr">
        <is>
          <t>Costa de Marfil</t>
        </is>
      </c>
      <c r="D1152" s="12" t="inlineStr">
        <is>
          <t>Nueva Zelanda</t>
        </is>
      </c>
      <c r="E1152" s="8" t="n"/>
      <c r="F1152" s="8" t="n"/>
      <c r="G1152" s="8">
        <f>IF(OR(ISBLANK(E1152),ISBLANK(F1152)),"",IF(E1152&gt;F1152,"Local",IF(E1152=F1152,"Empate","Visitante")))</f>
        <v/>
      </c>
      <c r="H1152" s="8">
        <f>IF(VLOOKUP(B1152,PARTIDOS!$A:$I,9,FALSE)="Cerrado",IF(G1152=VLOOKUP(B1152,PARTIDOS!$A:$I,8,FALSE),IF(AND(E1152=VLOOKUP(B1152,PARTIDOS!$A:$I,6,FALSE),F1152=VLOOKUP(B1152,PARTIDOS!$A:$I,7,FALSE)),3,1),0),"")</f>
        <v/>
      </c>
    </row>
    <row r="1153" ht="20.1" customHeight="1">
      <c r="A1153" s="12" t="inlineStr">
        <is>
          <t>Jugador 16</t>
        </is>
      </c>
      <c r="B1153" s="8" t="inlineStr">
        <is>
          <t>M72</t>
        </is>
      </c>
      <c r="C1153" s="12" t="inlineStr">
        <is>
          <t>Sudáfrica</t>
        </is>
      </c>
      <c r="D1153" s="12" t="inlineStr">
        <is>
          <t>Panáma</t>
        </is>
      </c>
      <c r="E1153" s="8" t="n"/>
      <c r="F1153" s="8" t="n"/>
      <c r="G1153" s="8">
        <f>IF(OR(ISBLANK(E1153),ISBLANK(F1153)),"",IF(E1153&gt;F1153,"Local",IF(E1153=F1153,"Empate","Visitante")))</f>
        <v/>
      </c>
      <c r="H1153" s="8">
        <f>IF(VLOOKUP(B1153,PARTIDOS!$A:$I,9,FALSE)="Cerrado",IF(G1153=VLOOKUP(B1153,PARTIDOS!$A:$I,8,FALSE),IF(AND(E1153=VLOOKUP(B1153,PARTIDOS!$A:$I,6,FALSE),F1153=VLOOKUP(B1153,PARTIDOS!$A:$I,7,FALSE)),3,1),0),"")</f>
        <v/>
      </c>
    </row>
    <row r="1154" ht="20.1" customHeight="1">
      <c r="A1154" s="12" t="inlineStr">
        <is>
          <t>Jugador 17</t>
        </is>
      </c>
      <c r="B1154" s="8" t="inlineStr">
        <is>
          <t>M01</t>
        </is>
      </c>
      <c r="C1154" s="12" t="inlineStr">
        <is>
          <t>México</t>
        </is>
      </c>
      <c r="D1154" s="12" t="inlineStr">
        <is>
          <t>EEUU</t>
        </is>
      </c>
      <c r="E1154" s="8" t="n"/>
      <c r="F1154" s="8" t="n"/>
      <c r="G1154" s="8">
        <f>IF(OR(ISBLANK(E1154),ISBLANK(F1154)),"",IF(E1154&gt;F1154,"Local",IF(E1154=F1154,"Empate","Visitante")))</f>
        <v/>
      </c>
      <c r="H1154" s="8">
        <f>IF(VLOOKUP(B1154,PARTIDOS!$A:$I,9,FALSE)="Cerrado",IF(G1154=VLOOKUP(B1154,PARTIDOS!$A:$I,8,FALSE),IF(AND(E1154=VLOOKUP(B1154,PARTIDOS!$A:$I,6,FALSE),F1154=VLOOKUP(B1154,PARTIDOS!$A:$I,7,FALSE)),3,1),0),"")</f>
        <v/>
      </c>
    </row>
    <row r="1155" ht="20.1" customHeight="1">
      <c r="A1155" s="12" t="inlineStr">
        <is>
          <t>Jugador 17</t>
        </is>
      </c>
      <c r="B1155" s="8" t="inlineStr">
        <is>
          <t>M02</t>
        </is>
      </c>
      <c r="C1155" s="12" t="inlineStr">
        <is>
          <t>Canadá</t>
        </is>
      </c>
      <c r="D1155" s="12" t="inlineStr">
        <is>
          <t>Jamaica</t>
        </is>
      </c>
      <c r="E1155" s="8" t="n"/>
      <c r="F1155" s="8" t="n"/>
      <c r="G1155" s="8">
        <f>IF(OR(ISBLANK(E1155),ISBLANK(F1155)),"",IF(E1155&gt;F1155,"Local",IF(E1155=F1155,"Empate","Visitante")))</f>
        <v/>
      </c>
      <c r="H1155" s="8">
        <f>IF(VLOOKUP(B1155,PARTIDOS!$A:$I,9,FALSE)="Cerrado",IF(G1155=VLOOKUP(B1155,PARTIDOS!$A:$I,8,FALSE),IF(AND(E1155=VLOOKUP(B1155,PARTIDOS!$A:$I,6,FALSE),F1155=VLOOKUP(B1155,PARTIDOS!$A:$I,7,FALSE)),3,1),0),"")</f>
        <v/>
      </c>
    </row>
    <row r="1156" ht="20.1" customHeight="1">
      <c r="A1156" s="12" t="inlineStr">
        <is>
          <t>Jugador 17</t>
        </is>
      </c>
      <c r="B1156" s="8" t="inlineStr">
        <is>
          <t>M03</t>
        </is>
      </c>
      <c r="C1156" s="12" t="inlineStr">
        <is>
          <t>México</t>
        </is>
      </c>
      <c r="D1156" s="12" t="inlineStr">
        <is>
          <t>Canadá</t>
        </is>
      </c>
      <c r="E1156" s="8" t="n"/>
      <c r="F1156" s="8" t="n"/>
      <c r="G1156" s="8">
        <f>IF(OR(ISBLANK(E1156),ISBLANK(F1156)),"",IF(E1156&gt;F1156,"Local",IF(E1156=F1156,"Empate","Visitante")))</f>
        <v/>
      </c>
      <c r="H1156" s="8">
        <f>IF(VLOOKUP(B1156,PARTIDOS!$A:$I,9,FALSE)="Cerrado",IF(G1156=VLOOKUP(B1156,PARTIDOS!$A:$I,8,FALSE),IF(AND(E1156=VLOOKUP(B1156,PARTIDOS!$A:$I,6,FALSE),F1156=VLOOKUP(B1156,PARTIDOS!$A:$I,7,FALSE)),3,1),0),"")</f>
        <v/>
      </c>
    </row>
    <row r="1157" ht="20.1" customHeight="1">
      <c r="A1157" s="12" t="inlineStr">
        <is>
          <t>Jugador 17</t>
        </is>
      </c>
      <c r="B1157" s="8" t="inlineStr">
        <is>
          <t>M04</t>
        </is>
      </c>
      <c r="C1157" s="12" t="inlineStr">
        <is>
          <t>EEUU</t>
        </is>
      </c>
      <c r="D1157" s="12" t="inlineStr">
        <is>
          <t>Jamaica</t>
        </is>
      </c>
      <c r="E1157" s="8" t="n"/>
      <c r="F1157" s="8" t="n"/>
      <c r="G1157" s="8">
        <f>IF(OR(ISBLANK(E1157),ISBLANK(F1157)),"",IF(E1157&gt;F1157,"Local",IF(E1157=F1157,"Empate","Visitante")))</f>
        <v/>
      </c>
      <c r="H1157" s="8">
        <f>IF(VLOOKUP(B1157,PARTIDOS!$A:$I,9,FALSE)="Cerrado",IF(G1157=VLOOKUP(B1157,PARTIDOS!$A:$I,8,FALSE),IF(AND(E1157=VLOOKUP(B1157,PARTIDOS!$A:$I,6,FALSE),F1157=VLOOKUP(B1157,PARTIDOS!$A:$I,7,FALSE)),3,1),0),"")</f>
        <v/>
      </c>
    </row>
    <row r="1158" ht="20.1" customHeight="1">
      <c r="A1158" s="12" t="inlineStr">
        <is>
          <t>Jugador 17</t>
        </is>
      </c>
      <c r="B1158" s="8" t="inlineStr">
        <is>
          <t>M05</t>
        </is>
      </c>
      <c r="C1158" s="12" t="inlineStr">
        <is>
          <t>México</t>
        </is>
      </c>
      <c r="D1158" s="12" t="inlineStr">
        <is>
          <t>Jamaica</t>
        </is>
      </c>
      <c r="E1158" s="8" t="n"/>
      <c r="F1158" s="8" t="n"/>
      <c r="G1158" s="8">
        <f>IF(OR(ISBLANK(E1158),ISBLANK(F1158)),"",IF(E1158&gt;F1158,"Local",IF(E1158=F1158,"Empate","Visitante")))</f>
        <v/>
      </c>
      <c r="H1158" s="8">
        <f>IF(VLOOKUP(B1158,PARTIDOS!$A:$I,9,FALSE)="Cerrado",IF(G1158=VLOOKUP(B1158,PARTIDOS!$A:$I,8,FALSE),IF(AND(E1158=VLOOKUP(B1158,PARTIDOS!$A:$I,6,FALSE),F1158=VLOOKUP(B1158,PARTIDOS!$A:$I,7,FALSE)),3,1),0),"")</f>
        <v/>
      </c>
    </row>
    <row r="1159" ht="20.1" customHeight="1">
      <c r="A1159" s="12" t="inlineStr">
        <is>
          <t>Jugador 17</t>
        </is>
      </c>
      <c r="B1159" s="8" t="inlineStr">
        <is>
          <t>M06</t>
        </is>
      </c>
      <c r="C1159" s="12" t="inlineStr">
        <is>
          <t>EEUU</t>
        </is>
      </c>
      <c r="D1159" s="12" t="inlineStr">
        <is>
          <t>Canadá</t>
        </is>
      </c>
      <c r="E1159" s="8" t="n"/>
      <c r="F1159" s="8" t="n"/>
      <c r="G1159" s="8">
        <f>IF(OR(ISBLANK(E1159),ISBLANK(F1159)),"",IF(E1159&gt;F1159,"Local",IF(E1159=F1159,"Empate","Visitante")))</f>
        <v/>
      </c>
      <c r="H1159" s="8">
        <f>IF(VLOOKUP(B1159,PARTIDOS!$A:$I,9,FALSE)="Cerrado",IF(G1159=VLOOKUP(B1159,PARTIDOS!$A:$I,8,FALSE),IF(AND(E1159=VLOOKUP(B1159,PARTIDOS!$A:$I,6,FALSE),F1159=VLOOKUP(B1159,PARTIDOS!$A:$I,7,FALSE)),3,1),0),"")</f>
        <v/>
      </c>
    </row>
    <row r="1160" ht="20.1" customHeight="1">
      <c r="A1160" s="12" t="inlineStr">
        <is>
          <t>Jugador 17</t>
        </is>
      </c>
      <c r="B1160" s="8" t="inlineStr">
        <is>
          <t>M07</t>
        </is>
      </c>
      <c r="C1160" s="12" t="inlineStr">
        <is>
          <t>Argentina</t>
        </is>
      </c>
      <c r="D1160" s="12" t="inlineStr">
        <is>
          <t>Brasil</t>
        </is>
      </c>
      <c r="E1160" s="8" t="n"/>
      <c r="F1160" s="8" t="n"/>
      <c r="G1160" s="8">
        <f>IF(OR(ISBLANK(E1160),ISBLANK(F1160)),"",IF(E1160&gt;F1160,"Local",IF(E1160=F1160,"Empate","Visitante")))</f>
        <v/>
      </c>
      <c r="H1160" s="8">
        <f>IF(VLOOKUP(B1160,PARTIDOS!$A:$I,9,FALSE)="Cerrado",IF(G1160=VLOOKUP(B1160,PARTIDOS!$A:$I,8,FALSE),IF(AND(E1160=VLOOKUP(B1160,PARTIDOS!$A:$I,6,FALSE),F1160=VLOOKUP(B1160,PARTIDOS!$A:$I,7,FALSE)),3,1),0),"")</f>
        <v/>
      </c>
    </row>
    <row r="1161" ht="20.1" customHeight="1">
      <c r="A1161" s="12" t="inlineStr">
        <is>
          <t>Jugador 17</t>
        </is>
      </c>
      <c r="B1161" s="8" t="inlineStr">
        <is>
          <t>M08</t>
        </is>
      </c>
      <c r="C1161" s="12" t="inlineStr">
        <is>
          <t>Colombia</t>
        </is>
      </c>
      <c r="D1161" s="12" t="inlineStr">
        <is>
          <t>Uruguay</t>
        </is>
      </c>
      <c r="E1161" s="8" t="n"/>
      <c r="F1161" s="8" t="n"/>
      <c r="G1161" s="8">
        <f>IF(OR(ISBLANK(E1161),ISBLANK(F1161)),"",IF(E1161&gt;F1161,"Local",IF(E1161=F1161,"Empate","Visitante")))</f>
        <v/>
      </c>
      <c r="H1161" s="8">
        <f>IF(VLOOKUP(B1161,PARTIDOS!$A:$I,9,FALSE)="Cerrado",IF(G1161=VLOOKUP(B1161,PARTIDOS!$A:$I,8,FALSE),IF(AND(E1161=VLOOKUP(B1161,PARTIDOS!$A:$I,6,FALSE),F1161=VLOOKUP(B1161,PARTIDOS!$A:$I,7,FALSE)),3,1),0),"")</f>
        <v/>
      </c>
    </row>
    <row r="1162" ht="20.1" customHeight="1">
      <c r="A1162" s="12" t="inlineStr">
        <is>
          <t>Jugador 17</t>
        </is>
      </c>
      <c r="B1162" s="8" t="inlineStr">
        <is>
          <t>M09</t>
        </is>
      </c>
      <c r="C1162" s="12" t="inlineStr">
        <is>
          <t>Argentina</t>
        </is>
      </c>
      <c r="D1162" s="12" t="inlineStr">
        <is>
          <t>Colombia</t>
        </is>
      </c>
      <c r="E1162" s="8" t="n"/>
      <c r="F1162" s="8" t="n"/>
      <c r="G1162" s="8">
        <f>IF(OR(ISBLANK(E1162),ISBLANK(F1162)),"",IF(E1162&gt;F1162,"Local",IF(E1162=F1162,"Empate","Visitante")))</f>
        <v/>
      </c>
      <c r="H1162" s="8">
        <f>IF(VLOOKUP(B1162,PARTIDOS!$A:$I,9,FALSE)="Cerrado",IF(G1162=VLOOKUP(B1162,PARTIDOS!$A:$I,8,FALSE),IF(AND(E1162=VLOOKUP(B1162,PARTIDOS!$A:$I,6,FALSE),F1162=VLOOKUP(B1162,PARTIDOS!$A:$I,7,FALSE)),3,1),0),"")</f>
        <v/>
      </c>
    </row>
    <row r="1163" ht="20.1" customHeight="1">
      <c r="A1163" s="12" t="inlineStr">
        <is>
          <t>Jugador 17</t>
        </is>
      </c>
      <c r="B1163" s="8" t="inlineStr">
        <is>
          <t>M10</t>
        </is>
      </c>
      <c r="C1163" s="12" t="inlineStr">
        <is>
          <t>Brasil</t>
        </is>
      </c>
      <c r="D1163" s="12" t="inlineStr">
        <is>
          <t>Uruguay</t>
        </is>
      </c>
      <c r="E1163" s="8" t="n"/>
      <c r="F1163" s="8" t="n"/>
      <c r="G1163" s="8">
        <f>IF(OR(ISBLANK(E1163),ISBLANK(F1163)),"",IF(E1163&gt;F1163,"Local",IF(E1163=F1163,"Empate","Visitante")))</f>
        <v/>
      </c>
      <c r="H1163" s="8">
        <f>IF(VLOOKUP(B1163,PARTIDOS!$A:$I,9,FALSE)="Cerrado",IF(G1163=VLOOKUP(B1163,PARTIDOS!$A:$I,8,FALSE),IF(AND(E1163=VLOOKUP(B1163,PARTIDOS!$A:$I,6,FALSE),F1163=VLOOKUP(B1163,PARTIDOS!$A:$I,7,FALSE)),3,1),0),"")</f>
        <v/>
      </c>
    </row>
    <row r="1164" ht="20.1" customHeight="1">
      <c r="A1164" s="12" t="inlineStr">
        <is>
          <t>Jugador 17</t>
        </is>
      </c>
      <c r="B1164" s="8" t="inlineStr">
        <is>
          <t>M11</t>
        </is>
      </c>
      <c r="C1164" s="12" t="inlineStr">
        <is>
          <t>Argentina</t>
        </is>
      </c>
      <c r="D1164" s="12" t="inlineStr">
        <is>
          <t>Uruguay</t>
        </is>
      </c>
      <c r="E1164" s="8" t="n"/>
      <c r="F1164" s="8" t="n"/>
      <c r="G1164" s="8">
        <f>IF(OR(ISBLANK(E1164),ISBLANK(F1164)),"",IF(E1164&gt;F1164,"Local",IF(E1164=F1164,"Empate","Visitante")))</f>
        <v/>
      </c>
      <c r="H1164" s="8">
        <f>IF(VLOOKUP(B1164,PARTIDOS!$A:$I,9,FALSE)="Cerrado",IF(G1164=VLOOKUP(B1164,PARTIDOS!$A:$I,8,FALSE),IF(AND(E1164=VLOOKUP(B1164,PARTIDOS!$A:$I,6,FALSE),F1164=VLOOKUP(B1164,PARTIDOS!$A:$I,7,FALSE)),3,1),0),"")</f>
        <v/>
      </c>
    </row>
    <row r="1165" ht="20.1" customHeight="1">
      <c r="A1165" s="12" t="inlineStr">
        <is>
          <t>Jugador 17</t>
        </is>
      </c>
      <c r="B1165" s="8" t="inlineStr">
        <is>
          <t>M12</t>
        </is>
      </c>
      <c r="C1165" s="12" t="inlineStr">
        <is>
          <t>Brasil</t>
        </is>
      </c>
      <c r="D1165" s="12" t="inlineStr">
        <is>
          <t>Colombia</t>
        </is>
      </c>
      <c r="E1165" s="8" t="n"/>
      <c r="F1165" s="8" t="n"/>
      <c r="G1165" s="8">
        <f>IF(OR(ISBLANK(E1165),ISBLANK(F1165)),"",IF(E1165&gt;F1165,"Local",IF(E1165=F1165,"Empate","Visitante")))</f>
        <v/>
      </c>
      <c r="H1165" s="8">
        <f>IF(VLOOKUP(B1165,PARTIDOS!$A:$I,9,FALSE)="Cerrado",IF(G1165=VLOOKUP(B1165,PARTIDOS!$A:$I,8,FALSE),IF(AND(E1165=VLOOKUP(B1165,PARTIDOS!$A:$I,6,FALSE),F1165=VLOOKUP(B1165,PARTIDOS!$A:$I,7,FALSE)),3,1),0),"")</f>
        <v/>
      </c>
    </row>
    <row r="1166" ht="20.1" customHeight="1">
      <c r="A1166" s="12" t="inlineStr">
        <is>
          <t>Jugador 17</t>
        </is>
      </c>
      <c r="B1166" s="8" t="inlineStr">
        <is>
          <t>M13</t>
        </is>
      </c>
      <c r="C1166" s="12" t="inlineStr">
        <is>
          <t>Ecuador</t>
        </is>
      </c>
      <c r="D1166" s="12" t="inlineStr">
        <is>
          <t>Perú</t>
        </is>
      </c>
      <c r="E1166" s="8" t="n"/>
      <c r="F1166" s="8" t="n"/>
      <c r="G1166" s="8">
        <f>IF(OR(ISBLANK(E1166),ISBLANK(F1166)),"",IF(E1166&gt;F1166,"Local",IF(E1166=F1166,"Empate","Visitante")))</f>
        <v/>
      </c>
      <c r="H1166" s="8">
        <f>IF(VLOOKUP(B1166,PARTIDOS!$A:$I,9,FALSE)="Cerrado",IF(G1166=VLOOKUP(B1166,PARTIDOS!$A:$I,8,FALSE),IF(AND(E1166=VLOOKUP(B1166,PARTIDOS!$A:$I,6,FALSE),F1166=VLOOKUP(B1166,PARTIDOS!$A:$I,7,FALSE)),3,1),0),"")</f>
        <v/>
      </c>
    </row>
    <row r="1167" ht="20.1" customHeight="1">
      <c r="A1167" s="12" t="inlineStr">
        <is>
          <t>Jugador 17</t>
        </is>
      </c>
      <c r="B1167" s="8" t="inlineStr">
        <is>
          <t>M14</t>
        </is>
      </c>
      <c r="C1167" s="12" t="inlineStr">
        <is>
          <t>Chile</t>
        </is>
      </c>
      <c r="D1167" s="12" t="inlineStr">
        <is>
          <t>Paraguay</t>
        </is>
      </c>
      <c r="E1167" s="8" t="n"/>
      <c r="F1167" s="8" t="n"/>
      <c r="G1167" s="8">
        <f>IF(OR(ISBLANK(E1167),ISBLANK(F1167)),"",IF(E1167&gt;F1167,"Local",IF(E1167=F1167,"Empate","Visitante")))</f>
        <v/>
      </c>
      <c r="H1167" s="8">
        <f>IF(VLOOKUP(B1167,PARTIDOS!$A:$I,9,FALSE)="Cerrado",IF(G1167=VLOOKUP(B1167,PARTIDOS!$A:$I,8,FALSE),IF(AND(E1167=VLOOKUP(B1167,PARTIDOS!$A:$I,6,FALSE),F1167=VLOOKUP(B1167,PARTIDOS!$A:$I,7,FALSE)),3,1),0),"")</f>
        <v/>
      </c>
    </row>
    <row r="1168" ht="20.1" customHeight="1">
      <c r="A1168" s="12" t="inlineStr">
        <is>
          <t>Jugador 17</t>
        </is>
      </c>
      <c r="B1168" s="8" t="inlineStr">
        <is>
          <t>M15</t>
        </is>
      </c>
      <c r="C1168" s="12" t="inlineStr">
        <is>
          <t>Ecuador</t>
        </is>
      </c>
      <c r="D1168" s="12" t="inlineStr">
        <is>
          <t>Chile</t>
        </is>
      </c>
      <c r="E1168" s="8" t="n"/>
      <c r="F1168" s="8" t="n"/>
      <c r="G1168" s="8">
        <f>IF(OR(ISBLANK(E1168),ISBLANK(F1168)),"",IF(E1168&gt;F1168,"Local",IF(E1168=F1168,"Empate","Visitante")))</f>
        <v/>
      </c>
      <c r="H1168" s="8">
        <f>IF(VLOOKUP(B1168,PARTIDOS!$A:$I,9,FALSE)="Cerrado",IF(G1168=VLOOKUP(B1168,PARTIDOS!$A:$I,8,FALSE),IF(AND(E1168=VLOOKUP(B1168,PARTIDOS!$A:$I,6,FALSE),F1168=VLOOKUP(B1168,PARTIDOS!$A:$I,7,FALSE)),3,1),0),"")</f>
        <v/>
      </c>
    </row>
    <row r="1169" ht="20.1" customHeight="1">
      <c r="A1169" s="12" t="inlineStr">
        <is>
          <t>Jugador 17</t>
        </is>
      </c>
      <c r="B1169" s="8" t="inlineStr">
        <is>
          <t>M16</t>
        </is>
      </c>
      <c r="C1169" s="12" t="inlineStr">
        <is>
          <t>Perú</t>
        </is>
      </c>
      <c r="D1169" s="12" t="inlineStr">
        <is>
          <t>Paraguay</t>
        </is>
      </c>
      <c r="E1169" s="8" t="n"/>
      <c r="F1169" s="8" t="n"/>
      <c r="G1169" s="8">
        <f>IF(OR(ISBLANK(E1169),ISBLANK(F1169)),"",IF(E1169&gt;F1169,"Local",IF(E1169=F1169,"Empate","Visitante")))</f>
        <v/>
      </c>
      <c r="H1169" s="8">
        <f>IF(VLOOKUP(B1169,PARTIDOS!$A:$I,9,FALSE)="Cerrado",IF(G1169=VLOOKUP(B1169,PARTIDOS!$A:$I,8,FALSE),IF(AND(E1169=VLOOKUP(B1169,PARTIDOS!$A:$I,6,FALSE),F1169=VLOOKUP(B1169,PARTIDOS!$A:$I,7,FALSE)),3,1),0),"")</f>
        <v/>
      </c>
    </row>
    <row r="1170" ht="20.1" customHeight="1">
      <c r="A1170" s="12" t="inlineStr">
        <is>
          <t>Jugador 17</t>
        </is>
      </c>
      <c r="B1170" s="8" t="inlineStr">
        <is>
          <t>M17</t>
        </is>
      </c>
      <c r="C1170" s="12" t="inlineStr">
        <is>
          <t>Ecuador</t>
        </is>
      </c>
      <c r="D1170" s="12" t="inlineStr">
        <is>
          <t>Paraguay</t>
        </is>
      </c>
      <c r="E1170" s="8" t="n"/>
      <c r="F1170" s="8" t="n"/>
      <c r="G1170" s="8">
        <f>IF(OR(ISBLANK(E1170),ISBLANK(F1170)),"",IF(E1170&gt;F1170,"Local",IF(E1170=F1170,"Empate","Visitante")))</f>
        <v/>
      </c>
      <c r="H1170" s="8">
        <f>IF(VLOOKUP(B1170,PARTIDOS!$A:$I,9,FALSE)="Cerrado",IF(G1170=VLOOKUP(B1170,PARTIDOS!$A:$I,8,FALSE),IF(AND(E1170=VLOOKUP(B1170,PARTIDOS!$A:$I,6,FALSE),F1170=VLOOKUP(B1170,PARTIDOS!$A:$I,7,FALSE)),3,1),0),"")</f>
        <v/>
      </c>
    </row>
    <row r="1171" ht="20.1" customHeight="1">
      <c r="A1171" s="12" t="inlineStr">
        <is>
          <t>Jugador 17</t>
        </is>
      </c>
      <c r="B1171" s="8" t="inlineStr">
        <is>
          <t>M18</t>
        </is>
      </c>
      <c r="C1171" s="12" t="inlineStr">
        <is>
          <t>Perú</t>
        </is>
      </c>
      <c r="D1171" s="12" t="inlineStr">
        <is>
          <t>Chile</t>
        </is>
      </c>
      <c r="E1171" s="8" t="n"/>
      <c r="F1171" s="8" t="n"/>
      <c r="G1171" s="8">
        <f>IF(OR(ISBLANK(E1171),ISBLANK(F1171)),"",IF(E1171&gt;F1171,"Local",IF(E1171=F1171,"Empate","Visitante")))</f>
        <v/>
      </c>
      <c r="H1171" s="8">
        <f>IF(VLOOKUP(B1171,PARTIDOS!$A:$I,9,FALSE)="Cerrado",IF(G1171=VLOOKUP(B1171,PARTIDOS!$A:$I,8,FALSE),IF(AND(E1171=VLOOKUP(B1171,PARTIDOS!$A:$I,6,FALSE),F1171=VLOOKUP(B1171,PARTIDOS!$A:$I,7,FALSE)),3,1),0),"")</f>
        <v/>
      </c>
    </row>
    <row r="1172" ht="20.1" customHeight="1">
      <c r="A1172" s="12" t="inlineStr">
        <is>
          <t>Jugador 17</t>
        </is>
      </c>
      <c r="B1172" s="8" t="inlineStr">
        <is>
          <t>M19</t>
        </is>
      </c>
      <c r="C1172" s="12" t="inlineStr">
        <is>
          <t>España</t>
        </is>
      </c>
      <c r="D1172" s="12" t="inlineStr">
        <is>
          <t>Francia</t>
        </is>
      </c>
      <c r="E1172" s="8" t="n"/>
      <c r="F1172" s="8" t="n"/>
      <c r="G1172" s="8">
        <f>IF(OR(ISBLANK(E1172),ISBLANK(F1172)),"",IF(E1172&gt;F1172,"Local",IF(E1172=F1172,"Empate","Visitante")))</f>
        <v/>
      </c>
      <c r="H1172" s="8">
        <f>IF(VLOOKUP(B1172,PARTIDOS!$A:$I,9,FALSE)="Cerrado",IF(G1172=VLOOKUP(B1172,PARTIDOS!$A:$I,8,FALSE),IF(AND(E1172=VLOOKUP(B1172,PARTIDOS!$A:$I,6,FALSE),F1172=VLOOKUP(B1172,PARTIDOS!$A:$I,7,FALSE)),3,1),0),"")</f>
        <v/>
      </c>
    </row>
    <row r="1173" ht="20.1" customHeight="1">
      <c r="A1173" s="12" t="inlineStr">
        <is>
          <t>Jugador 17</t>
        </is>
      </c>
      <c r="B1173" s="8" t="inlineStr">
        <is>
          <t>M20</t>
        </is>
      </c>
      <c r="C1173" s="12" t="inlineStr">
        <is>
          <t>Inglaterra</t>
        </is>
      </c>
      <c r="D1173" s="12" t="inlineStr">
        <is>
          <t>Alemania</t>
        </is>
      </c>
      <c r="E1173" s="8" t="n"/>
      <c r="F1173" s="8" t="n"/>
      <c r="G1173" s="8">
        <f>IF(OR(ISBLANK(E1173),ISBLANK(F1173)),"",IF(E1173&gt;F1173,"Local",IF(E1173=F1173,"Empate","Visitante")))</f>
        <v/>
      </c>
      <c r="H1173" s="8">
        <f>IF(VLOOKUP(B1173,PARTIDOS!$A:$I,9,FALSE)="Cerrado",IF(G1173=VLOOKUP(B1173,PARTIDOS!$A:$I,8,FALSE),IF(AND(E1173=VLOOKUP(B1173,PARTIDOS!$A:$I,6,FALSE),F1173=VLOOKUP(B1173,PARTIDOS!$A:$I,7,FALSE)),3,1),0),"")</f>
        <v/>
      </c>
    </row>
    <row r="1174" ht="20.1" customHeight="1">
      <c r="A1174" s="12" t="inlineStr">
        <is>
          <t>Jugador 17</t>
        </is>
      </c>
      <c r="B1174" s="8" t="inlineStr">
        <is>
          <t>M21</t>
        </is>
      </c>
      <c r="C1174" s="12" t="inlineStr">
        <is>
          <t>España</t>
        </is>
      </c>
      <c r="D1174" s="12" t="inlineStr">
        <is>
          <t>Inglaterra</t>
        </is>
      </c>
      <c r="E1174" s="8" t="n"/>
      <c r="F1174" s="8" t="n"/>
      <c r="G1174" s="8">
        <f>IF(OR(ISBLANK(E1174),ISBLANK(F1174)),"",IF(E1174&gt;F1174,"Local",IF(E1174=F1174,"Empate","Visitante")))</f>
        <v/>
      </c>
      <c r="H1174" s="8">
        <f>IF(VLOOKUP(B1174,PARTIDOS!$A:$I,9,FALSE)="Cerrado",IF(G1174=VLOOKUP(B1174,PARTIDOS!$A:$I,8,FALSE),IF(AND(E1174=VLOOKUP(B1174,PARTIDOS!$A:$I,6,FALSE),F1174=VLOOKUP(B1174,PARTIDOS!$A:$I,7,FALSE)),3,1),0),"")</f>
        <v/>
      </c>
    </row>
    <row r="1175" ht="20.1" customHeight="1">
      <c r="A1175" s="12" t="inlineStr">
        <is>
          <t>Jugador 17</t>
        </is>
      </c>
      <c r="B1175" s="8" t="inlineStr">
        <is>
          <t>M22</t>
        </is>
      </c>
      <c r="C1175" s="12" t="inlineStr">
        <is>
          <t>Francia</t>
        </is>
      </c>
      <c r="D1175" s="12" t="inlineStr">
        <is>
          <t>Alemania</t>
        </is>
      </c>
      <c r="E1175" s="8" t="n"/>
      <c r="F1175" s="8" t="n"/>
      <c r="G1175" s="8">
        <f>IF(OR(ISBLANK(E1175),ISBLANK(F1175)),"",IF(E1175&gt;F1175,"Local",IF(E1175=F1175,"Empate","Visitante")))</f>
        <v/>
      </c>
      <c r="H1175" s="8">
        <f>IF(VLOOKUP(B1175,PARTIDOS!$A:$I,9,FALSE)="Cerrado",IF(G1175=VLOOKUP(B1175,PARTIDOS!$A:$I,8,FALSE),IF(AND(E1175=VLOOKUP(B1175,PARTIDOS!$A:$I,6,FALSE),F1175=VLOOKUP(B1175,PARTIDOS!$A:$I,7,FALSE)),3,1),0),"")</f>
        <v/>
      </c>
    </row>
    <row r="1176" ht="20.1" customHeight="1">
      <c r="A1176" s="12" t="inlineStr">
        <is>
          <t>Jugador 17</t>
        </is>
      </c>
      <c r="B1176" s="8" t="inlineStr">
        <is>
          <t>M23</t>
        </is>
      </c>
      <c r="C1176" s="12" t="inlineStr">
        <is>
          <t>España</t>
        </is>
      </c>
      <c r="D1176" s="12" t="inlineStr">
        <is>
          <t>Alemania</t>
        </is>
      </c>
      <c r="E1176" s="8" t="n"/>
      <c r="F1176" s="8" t="n"/>
      <c r="G1176" s="8">
        <f>IF(OR(ISBLANK(E1176),ISBLANK(F1176)),"",IF(E1176&gt;F1176,"Local",IF(E1176=F1176,"Empate","Visitante")))</f>
        <v/>
      </c>
      <c r="H1176" s="8">
        <f>IF(VLOOKUP(B1176,PARTIDOS!$A:$I,9,FALSE)="Cerrado",IF(G1176=VLOOKUP(B1176,PARTIDOS!$A:$I,8,FALSE),IF(AND(E1176=VLOOKUP(B1176,PARTIDOS!$A:$I,6,FALSE),F1176=VLOOKUP(B1176,PARTIDOS!$A:$I,7,FALSE)),3,1),0),"")</f>
        <v/>
      </c>
    </row>
    <row r="1177" ht="20.1" customHeight="1">
      <c r="A1177" s="12" t="inlineStr">
        <is>
          <t>Jugador 17</t>
        </is>
      </c>
      <c r="B1177" s="8" t="inlineStr">
        <is>
          <t>M24</t>
        </is>
      </c>
      <c r="C1177" s="12" t="inlineStr">
        <is>
          <t>Francia</t>
        </is>
      </c>
      <c r="D1177" s="12" t="inlineStr">
        <is>
          <t>Inglaterra</t>
        </is>
      </c>
      <c r="E1177" s="8" t="n"/>
      <c r="F1177" s="8" t="n"/>
      <c r="G1177" s="8">
        <f>IF(OR(ISBLANK(E1177),ISBLANK(F1177)),"",IF(E1177&gt;F1177,"Local",IF(E1177=F1177,"Empate","Visitante")))</f>
        <v/>
      </c>
      <c r="H1177" s="8">
        <f>IF(VLOOKUP(B1177,PARTIDOS!$A:$I,9,FALSE)="Cerrado",IF(G1177=VLOOKUP(B1177,PARTIDOS!$A:$I,8,FALSE),IF(AND(E1177=VLOOKUP(B1177,PARTIDOS!$A:$I,6,FALSE),F1177=VLOOKUP(B1177,PARTIDOS!$A:$I,7,FALSE)),3,1),0),"")</f>
        <v/>
      </c>
    </row>
    <row r="1178" ht="20.1" customHeight="1">
      <c r="A1178" s="12" t="inlineStr">
        <is>
          <t>Jugador 17</t>
        </is>
      </c>
      <c r="B1178" s="8" t="inlineStr">
        <is>
          <t>M25</t>
        </is>
      </c>
      <c r="C1178" s="12" t="inlineStr">
        <is>
          <t>Portugal</t>
        </is>
      </c>
      <c r="D1178" s="12" t="inlineStr">
        <is>
          <t>Bélgica</t>
        </is>
      </c>
      <c r="E1178" s="8" t="n"/>
      <c r="F1178" s="8" t="n"/>
      <c r="G1178" s="8">
        <f>IF(OR(ISBLANK(E1178),ISBLANK(F1178)),"",IF(E1178&gt;F1178,"Local",IF(E1178=F1178,"Empate","Visitante")))</f>
        <v/>
      </c>
      <c r="H1178" s="8">
        <f>IF(VLOOKUP(B1178,PARTIDOS!$A:$I,9,FALSE)="Cerrado",IF(G1178=VLOOKUP(B1178,PARTIDOS!$A:$I,8,FALSE),IF(AND(E1178=VLOOKUP(B1178,PARTIDOS!$A:$I,6,FALSE),F1178=VLOOKUP(B1178,PARTIDOS!$A:$I,7,FALSE)),3,1),0),"")</f>
        <v/>
      </c>
    </row>
    <row r="1179" ht="20.1" customHeight="1">
      <c r="A1179" s="12" t="inlineStr">
        <is>
          <t>Jugador 17</t>
        </is>
      </c>
      <c r="B1179" s="8" t="inlineStr">
        <is>
          <t>M26</t>
        </is>
      </c>
      <c r="C1179" s="12" t="inlineStr">
        <is>
          <t>Países Bajos</t>
        </is>
      </c>
      <c r="D1179" s="12" t="inlineStr">
        <is>
          <t>Italia</t>
        </is>
      </c>
      <c r="E1179" s="8" t="n"/>
      <c r="F1179" s="8" t="n"/>
      <c r="G1179" s="8">
        <f>IF(OR(ISBLANK(E1179),ISBLANK(F1179)),"",IF(E1179&gt;F1179,"Local",IF(E1179=F1179,"Empate","Visitante")))</f>
        <v/>
      </c>
      <c r="H1179" s="8">
        <f>IF(VLOOKUP(B1179,PARTIDOS!$A:$I,9,FALSE)="Cerrado",IF(G1179=VLOOKUP(B1179,PARTIDOS!$A:$I,8,FALSE),IF(AND(E1179=VLOOKUP(B1179,PARTIDOS!$A:$I,6,FALSE),F1179=VLOOKUP(B1179,PARTIDOS!$A:$I,7,FALSE)),3,1),0),"")</f>
        <v/>
      </c>
    </row>
    <row r="1180" ht="20.1" customHeight="1">
      <c r="A1180" s="12" t="inlineStr">
        <is>
          <t>Jugador 17</t>
        </is>
      </c>
      <c r="B1180" s="8" t="inlineStr">
        <is>
          <t>M27</t>
        </is>
      </c>
      <c r="C1180" s="12" t="inlineStr">
        <is>
          <t>Portugal</t>
        </is>
      </c>
      <c r="D1180" s="12" t="inlineStr">
        <is>
          <t>Países Bajos</t>
        </is>
      </c>
      <c r="E1180" s="8" t="n"/>
      <c r="F1180" s="8" t="n"/>
      <c r="G1180" s="8">
        <f>IF(OR(ISBLANK(E1180),ISBLANK(F1180)),"",IF(E1180&gt;F1180,"Local",IF(E1180=F1180,"Empate","Visitante")))</f>
        <v/>
      </c>
      <c r="H1180" s="8">
        <f>IF(VLOOKUP(B1180,PARTIDOS!$A:$I,9,FALSE)="Cerrado",IF(G1180=VLOOKUP(B1180,PARTIDOS!$A:$I,8,FALSE),IF(AND(E1180=VLOOKUP(B1180,PARTIDOS!$A:$I,6,FALSE),F1180=VLOOKUP(B1180,PARTIDOS!$A:$I,7,FALSE)),3,1),0),"")</f>
        <v/>
      </c>
    </row>
    <row r="1181" ht="20.1" customHeight="1">
      <c r="A1181" s="12" t="inlineStr">
        <is>
          <t>Jugador 17</t>
        </is>
      </c>
      <c r="B1181" s="8" t="inlineStr">
        <is>
          <t>M28</t>
        </is>
      </c>
      <c r="C1181" s="12" t="inlineStr">
        <is>
          <t>Bélgica</t>
        </is>
      </c>
      <c r="D1181" s="12" t="inlineStr">
        <is>
          <t>Italia</t>
        </is>
      </c>
      <c r="E1181" s="8" t="n"/>
      <c r="F1181" s="8" t="n"/>
      <c r="G1181" s="8">
        <f>IF(OR(ISBLANK(E1181),ISBLANK(F1181)),"",IF(E1181&gt;F1181,"Local",IF(E1181=F1181,"Empate","Visitante")))</f>
        <v/>
      </c>
      <c r="H1181" s="8">
        <f>IF(VLOOKUP(B1181,PARTIDOS!$A:$I,9,FALSE)="Cerrado",IF(G1181=VLOOKUP(B1181,PARTIDOS!$A:$I,8,FALSE),IF(AND(E1181=VLOOKUP(B1181,PARTIDOS!$A:$I,6,FALSE),F1181=VLOOKUP(B1181,PARTIDOS!$A:$I,7,FALSE)),3,1),0),"")</f>
        <v/>
      </c>
    </row>
    <row r="1182" ht="20.1" customHeight="1">
      <c r="A1182" s="12" t="inlineStr">
        <is>
          <t>Jugador 17</t>
        </is>
      </c>
      <c r="B1182" s="8" t="inlineStr">
        <is>
          <t>M29</t>
        </is>
      </c>
      <c r="C1182" s="12" t="inlineStr">
        <is>
          <t>Portugal</t>
        </is>
      </c>
      <c r="D1182" s="12" t="inlineStr">
        <is>
          <t>Italia</t>
        </is>
      </c>
      <c r="E1182" s="8" t="n"/>
      <c r="F1182" s="8" t="n"/>
      <c r="G1182" s="8">
        <f>IF(OR(ISBLANK(E1182),ISBLANK(F1182)),"",IF(E1182&gt;F1182,"Local",IF(E1182=F1182,"Empate","Visitante")))</f>
        <v/>
      </c>
      <c r="H1182" s="8">
        <f>IF(VLOOKUP(B1182,PARTIDOS!$A:$I,9,FALSE)="Cerrado",IF(G1182=VLOOKUP(B1182,PARTIDOS!$A:$I,8,FALSE),IF(AND(E1182=VLOOKUP(B1182,PARTIDOS!$A:$I,6,FALSE),F1182=VLOOKUP(B1182,PARTIDOS!$A:$I,7,FALSE)),3,1),0),"")</f>
        <v/>
      </c>
    </row>
    <row r="1183" ht="20.1" customHeight="1">
      <c r="A1183" s="12" t="inlineStr">
        <is>
          <t>Jugador 17</t>
        </is>
      </c>
      <c r="B1183" s="8" t="inlineStr">
        <is>
          <t>M30</t>
        </is>
      </c>
      <c r="C1183" s="12" t="inlineStr">
        <is>
          <t>Bélgica</t>
        </is>
      </c>
      <c r="D1183" s="12" t="inlineStr">
        <is>
          <t>Países Bajos</t>
        </is>
      </c>
      <c r="E1183" s="8" t="n"/>
      <c r="F1183" s="8" t="n"/>
      <c r="G1183" s="8">
        <f>IF(OR(ISBLANK(E1183),ISBLANK(F1183)),"",IF(E1183&gt;F1183,"Local",IF(E1183=F1183,"Empate","Visitante")))</f>
        <v/>
      </c>
      <c r="H1183" s="8">
        <f>IF(VLOOKUP(B1183,PARTIDOS!$A:$I,9,FALSE)="Cerrado",IF(G1183=VLOOKUP(B1183,PARTIDOS!$A:$I,8,FALSE),IF(AND(E1183=VLOOKUP(B1183,PARTIDOS!$A:$I,6,FALSE),F1183=VLOOKUP(B1183,PARTIDOS!$A:$I,7,FALSE)),3,1),0),"")</f>
        <v/>
      </c>
    </row>
    <row r="1184" ht="20.1" customHeight="1">
      <c r="A1184" s="12" t="inlineStr">
        <is>
          <t>Jugador 17</t>
        </is>
      </c>
      <c r="B1184" s="8" t="inlineStr">
        <is>
          <t>M31</t>
        </is>
      </c>
      <c r="C1184" s="12" t="inlineStr">
        <is>
          <t>Croacia</t>
        </is>
      </c>
      <c r="D1184" s="12" t="inlineStr">
        <is>
          <t>Suiza</t>
        </is>
      </c>
      <c r="E1184" s="8" t="n"/>
      <c r="F1184" s="8" t="n"/>
      <c r="G1184" s="8">
        <f>IF(OR(ISBLANK(E1184),ISBLANK(F1184)),"",IF(E1184&gt;F1184,"Local",IF(E1184=F1184,"Empate","Visitante")))</f>
        <v/>
      </c>
      <c r="H1184" s="8">
        <f>IF(VLOOKUP(B1184,PARTIDOS!$A:$I,9,FALSE)="Cerrado",IF(G1184=VLOOKUP(B1184,PARTIDOS!$A:$I,8,FALSE),IF(AND(E1184=VLOOKUP(B1184,PARTIDOS!$A:$I,6,FALSE),F1184=VLOOKUP(B1184,PARTIDOS!$A:$I,7,FALSE)),3,1),0),"")</f>
        <v/>
      </c>
    </row>
    <row r="1185" ht="20.1" customHeight="1">
      <c r="A1185" s="12" t="inlineStr">
        <is>
          <t>Jugador 17</t>
        </is>
      </c>
      <c r="B1185" s="8" t="inlineStr">
        <is>
          <t>M32</t>
        </is>
      </c>
      <c r="C1185" s="12" t="inlineStr">
        <is>
          <t>Dinamarca</t>
        </is>
      </c>
      <c r="D1185" s="12" t="inlineStr">
        <is>
          <t>Serbia</t>
        </is>
      </c>
      <c r="E1185" s="8" t="n"/>
      <c r="F1185" s="8" t="n"/>
      <c r="G1185" s="8">
        <f>IF(OR(ISBLANK(E1185),ISBLANK(F1185)),"",IF(E1185&gt;F1185,"Local",IF(E1185=F1185,"Empate","Visitante")))</f>
        <v/>
      </c>
      <c r="H1185" s="8">
        <f>IF(VLOOKUP(B1185,PARTIDOS!$A:$I,9,FALSE)="Cerrado",IF(G1185=VLOOKUP(B1185,PARTIDOS!$A:$I,8,FALSE),IF(AND(E1185=VLOOKUP(B1185,PARTIDOS!$A:$I,6,FALSE),F1185=VLOOKUP(B1185,PARTIDOS!$A:$I,7,FALSE)),3,1),0),"")</f>
        <v/>
      </c>
    </row>
    <row r="1186" ht="20.1" customHeight="1">
      <c r="A1186" s="12" t="inlineStr">
        <is>
          <t>Jugador 17</t>
        </is>
      </c>
      <c r="B1186" s="8" t="inlineStr">
        <is>
          <t>M33</t>
        </is>
      </c>
      <c r="C1186" s="12" t="inlineStr">
        <is>
          <t>Croacia</t>
        </is>
      </c>
      <c r="D1186" s="12" t="inlineStr">
        <is>
          <t>Dinamarca</t>
        </is>
      </c>
      <c r="E1186" s="8" t="n"/>
      <c r="F1186" s="8" t="n"/>
      <c r="G1186" s="8">
        <f>IF(OR(ISBLANK(E1186),ISBLANK(F1186)),"",IF(E1186&gt;F1186,"Local",IF(E1186=F1186,"Empate","Visitante")))</f>
        <v/>
      </c>
      <c r="H1186" s="8">
        <f>IF(VLOOKUP(B1186,PARTIDOS!$A:$I,9,FALSE)="Cerrado",IF(G1186=VLOOKUP(B1186,PARTIDOS!$A:$I,8,FALSE),IF(AND(E1186=VLOOKUP(B1186,PARTIDOS!$A:$I,6,FALSE),F1186=VLOOKUP(B1186,PARTIDOS!$A:$I,7,FALSE)),3,1),0),"")</f>
        <v/>
      </c>
    </row>
    <row r="1187" ht="20.1" customHeight="1">
      <c r="A1187" s="12" t="inlineStr">
        <is>
          <t>Jugador 17</t>
        </is>
      </c>
      <c r="B1187" s="8" t="inlineStr">
        <is>
          <t>M34</t>
        </is>
      </c>
      <c r="C1187" s="12" t="inlineStr">
        <is>
          <t>Suiza</t>
        </is>
      </c>
      <c r="D1187" s="12" t="inlineStr">
        <is>
          <t>Serbia</t>
        </is>
      </c>
      <c r="E1187" s="8" t="n"/>
      <c r="F1187" s="8" t="n"/>
      <c r="G1187" s="8">
        <f>IF(OR(ISBLANK(E1187),ISBLANK(F1187)),"",IF(E1187&gt;F1187,"Local",IF(E1187=F1187,"Empate","Visitante")))</f>
        <v/>
      </c>
      <c r="H1187" s="8">
        <f>IF(VLOOKUP(B1187,PARTIDOS!$A:$I,9,FALSE)="Cerrado",IF(G1187=VLOOKUP(B1187,PARTIDOS!$A:$I,8,FALSE),IF(AND(E1187=VLOOKUP(B1187,PARTIDOS!$A:$I,6,FALSE),F1187=VLOOKUP(B1187,PARTIDOS!$A:$I,7,FALSE)),3,1),0),"")</f>
        <v/>
      </c>
    </row>
    <row r="1188" ht="20.1" customHeight="1">
      <c r="A1188" s="12" t="inlineStr">
        <is>
          <t>Jugador 17</t>
        </is>
      </c>
      <c r="B1188" s="8" t="inlineStr">
        <is>
          <t>M35</t>
        </is>
      </c>
      <c r="C1188" s="12" t="inlineStr">
        <is>
          <t>Croacia</t>
        </is>
      </c>
      <c r="D1188" s="12" t="inlineStr">
        <is>
          <t>Serbia</t>
        </is>
      </c>
      <c r="E1188" s="8" t="n"/>
      <c r="F1188" s="8" t="n"/>
      <c r="G1188" s="8">
        <f>IF(OR(ISBLANK(E1188),ISBLANK(F1188)),"",IF(E1188&gt;F1188,"Local",IF(E1188=F1188,"Empate","Visitante")))</f>
        <v/>
      </c>
      <c r="H1188" s="8">
        <f>IF(VLOOKUP(B1188,PARTIDOS!$A:$I,9,FALSE)="Cerrado",IF(G1188=VLOOKUP(B1188,PARTIDOS!$A:$I,8,FALSE),IF(AND(E1188=VLOOKUP(B1188,PARTIDOS!$A:$I,6,FALSE),F1188=VLOOKUP(B1188,PARTIDOS!$A:$I,7,FALSE)),3,1),0),"")</f>
        <v/>
      </c>
    </row>
    <row r="1189" ht="20.1" customHeight="1">
      <c r="A1189" s="12" t="inlineStr">
        <is>
          <t>Jugador 17</t>
        </is>
      </c>
      <c r="B1189" s="8" t="inlineStr">
        <is>
          <t>M36</t>
        </is>
      </c>
      <c r="C1189" s="12" t="inlineStr">
        <is>
          <t>Suiza</t>
        </is>
      </c>
      <c r="D1189" s="12" t="inlineStr">
        <is>
          <t>Dinamarca</t>
        </is>
      </c>
      <c r="E1189" s="8" t="n"/>
      <c r="F1189" s="8" t="n"/>
      <c r="G1189" s="8">
        <f>IF(OR(ISBLANK(E1189),ISBLANK(F1189)),"",IF(E1189&gt;F1189,"Local",IF(E1189=F1189,"Empate","Visitante")))</f>
        <v/>
      </c>
      <c r="H1189" s="8">
        <f>IF(VLOOKUP(B1189,PARTIDOS!$A:$I,9,FALSE)="Cerrado",IF(G1189=VLOOKUP(B1189,PARTIDOS!$A:$I,8,FALSE),IF(AND(E1189=VLOOKUP(B1189,PARTIDOS!$A:$I,6,FALSE),F1189=VLOOKUP(B1189,PARTIDOS!$A:$I,7,FALSE)),3,1),0),"")</f>
        <v/>
      </c>
    </row>
    <row r="1190" ht="20.1" customHeight="1">
      <c r="A1190" s="12" t="inlineStr">
        <is>
          <t>Jugador 17</t>
        </is>
      </c>
      <c r="B1190" s="8" t="inlineStr">
        <is>
          <t>M37</t>
        </is>
      </c>
      <c r="C1190" s="12" t="inlineStr">
        <is>
          <t>Polonia</t>
        </is>
      </c>
      <c r="D1190" s="12" t="inlineStr">
        <is>
          <t>Ucrania</t>
        </is>
      </c>
      <c r="E1190" s="8" t="n"/>
      <c r="F1190" s="8" t="n"/>
      <c r="G1190" s="8">
        <f>IF(OR(ISBLANK(E1190),ISBLANK(F1190)),"",IF(E1190&gt;F1190,"Local",IF(E1190=F1190,"Empate","Visitante")))</f>
        <v/>
      </c>
      <c r="H1190" s="8">
        <f>IF(VLOOKUP(B1190,PARTIDOS!$A:$I,9,FALSE)="Cerrado",IF(G1190=VLOOKUP(B1190,PARTIDOS!$A:$I,8,FALSE),IF(AND(E1190=VLOOKUP(B1190,PARTIDOS!$A:$I,6,FALSE),F1190=VLOOKUP(B1190,PARTIDOS!$A:$I,7,FALSE)),3,1),0),"")</f>
        <v/>
      </c>
    </row>
    <row r="1191" ht="20.1" customHeight="1">
      <c r="A1191" s="12" t="inlineStr">
        <is>
          <t>Jugador 17</t>
        </is>
      </c>
      <c r="B1191" s="8" t="inlineStr">
        <is>
          <t>M38</t>
        </is>
      </c>
      <c r="C1191" s="12" t="inlineStr">
        <is>
          <t>Suecia</t>
        </is>
      </c>
      <c r="D1191" s="12" t="inlineStr">
        <is>
          <t>Gales</t>
        </is>
      </c>
      <c r="E1191" s="8" t="n"/>
      <c r="F1191" s="8" t="n"/>
      <c r="G1191" s="8">
        <f>IF(OR(ISBLANK(E1191),ISBLANK(F1191)),"",IF(E1191&gt;F1191,"Local",IF(E1191=F1191,"Empate","Visitante")))</f>
        <v/>
      </c>
      <c r="H1191" s="8">
        <f>IF(VLOOKUP(B1191,PARTIDOS!$A:$I,9,FALSE)="Cerrado",IF(G1191=VLOOKUP(B1191,PARTIDOS!$A:$I,8,FALSE),IF(AND(E1191=VLOOKUP(B1191,PARTIDOS!$A:$I,6,FALSE),F1191=VLOOKUP(B1191,PARTIDOS!$A:$I,7,FALSE)),3,1),0),"")</f>
        <v/>
      </c>
    </row>
    <row r="1192" ht="20.1" customHeight="1">
      <c r="A1192" s="12" t="inlineStr">
        <is>
          <t>Jugador 17</t>
        </is>
      </c>
      <c r="B1192" s="8" t="inlineStr">
        <is>
          <t>M39</t>
        </is>
      </c>
      <c r="C1192" s="12" t="inlineStr">
        <is>
          <t>Polonia</t>
        </is>
      </c>
      <c r="D1192" s="12" t="inlineStr">
        <is>
          <t>Suecia</t>
        </is>
      </c>
      <c r="E1192" s="8" t="n"/>
      <c r="F1192" s="8" t="n"/>
      <c r="G1192" s="8">
        <f>IF(OR(ISBLANK(E1192),ISBLANK(F1192)),"",IF(E1192&gt;F1192,"Local",IF(E1192=F1192,"Empate","Visitante")))</f>
        <v/>
      </c>
      <c r="H1192" s="8">
        <f>IF(VLOOKUP(B1192,PARTIDOS!$A:$I,9,FALSE)="Cerrado",IF(G1192=VLOOKUP(B1192,PARTIDOS!$A:$I,8,FALSE),IF(AND(E1192=VLOOKUP(B1192,PARTIDOS!$A:$I,6,FALSE),F1192=VLOOKUP(B1192,PARTIDOS!$A:$I,7,FALSE)),3,1),0),"")</f>
        <v/>
      </c>
    </row>
    <row r="1193" ht="20.1" customHeight="1">
      <c r="A1193" s="12" t="inlineStr">
        <is>
          <t>Jugador 17</t>
        </is>
      </c>
      <c r="B1193" s="8" t="inlineStr">
        <is>
          <t>M40</t>
        </is>
      </c>
      <c r="C1193" s="12" t="inlineStr">
        <is>
          <t>Ucrania</t>
        </is>
      </c>
      <c r="D1193" s="12" t="inlineStr">
        <is>
          <t>Gales</t>
        </is>
      </c>
      <c r="E1193" s="8" t="n"/>
      <c r="F1193" s="8" t="n"/>
      <c r="G1193" s="8">
        <f>IF(OR(ISBLANK(E1193),ISBLANK(F1193)),"",IF(E1193&gt;F1193,"Local",IF(E1193=F1193,"Empate","Visitante")))</f>
        <v/>
      </c>
      <c r="H1193" s="8">
        <f>IF(VLOOKUP(B1193,PARTIDOS!$A:$I,9,FALSE)="Cerrado",IF(G1193=VLOOKUP(B1193,PARTIDOS!$A:$I,8,FALSE),IF(AND(E1193=VLOOKUP(B1193,PARTIDOS!$A:$I,6,FALSE),F1193=VLOOKUP(B1193,PARTIDOS!$A:$I,7,FALSE)),3,1),0),"")</f>
        <v/>
      </c>
    </row>
    <row r="1194" ht="20.1" customHeight="1">
      <c r="A1194" s="12" t="inlineStr">
        <is>
          <t>Jugador 17</t>
        </is>
      </c>
      <c r="B1194" s="8" t="inlineStr">
        <is>
          <t>M41</t>
        </is>
      </c>
      <c r="C1194" s="12" t="inlineStr">
        <is>
          <t>Polonia</t>
        </is>
      </c>
      <c r="D1194" s="12" t="inlineStr">
        <is>
          <t>Gales</t>
        </is>
      </c>
      <c r="E1194" s="8" t="n"/>
      <c r="F1194" s="8" t="n"/>
      <c r="G1194" s="8">
        <f>IF(OR(ISBLANK(E1194),ISBLANK(F1194)),"",IF(E1194&gt;F1194,"Local",IF(E1194=F1194,"Empate","Visitante")))</f>
        <v/>
      </c>
      <c r="H1194" s="8">
        <f>IF(VLOOKUP(B1194,PARTIDOS!$A:$I,9,FALSE)="Cerrado",IF(G1194=VLOOKUP(B1194,PARTIDOS!$A:$I,8,FALSE),IF(AND(E1194=VLOOKUP(B1194,PARTIDOS!$A:$I,6,FALSE),F1194=VLOOKUP(B1194,PARTIDOS!$A:$I,7,FALSE)),3,1),0),"")</f>
        <v/>
      </c>
    </row>
    <row r="1195" ht="20.1" customHeight="1">
      <c r="A1195" s="12" t="inlineStr">
        <is>
          <t>Jugador 17</t>
        </is>
      </c>
      <c r="B1195" s="8" t="inlineStr">
        <is>
          <t>M42</t>
        </is>
      </c>
      <c r="C1195" s="12" t="inlineStr">
        <is>
          <t>Ucrania</t>
        </is>
      </c>
      <c r="D1195" s="12" t="inlineStr">
        <is>
          <t>Suecia</t>
        </is>
      </c>
      <c r="E1195" s="8" t="n"/>
      <c r="F1195" s="8" t="n"/>
      <c r="G1195" s="8">
        <f>IF(OR(ISBLANK(E1195),ISBLANK(F1195)),"",IF(E1195&gt;F1195,"Local",IF(E1195=F1195,"Empate","Visitante")))</f>
        <v/>
      </c>
      <c r="H1195" s="8">
        <f>IF(VLOOKUP(B1195,PARTIDOS!$A:$I,9,FALSE)="Cerrado",IF(G1195=VLOOKUP(B1195,PARTIDOS!$A:$I,8,FALSE),IF(AND(E1195=VLOOKUP(B1195,PARTIDOS!$A:$I,6,FALSE),F1195=VLOOKUP(B1195,PARTIDOS!$A:$I,7,FALSE)),3,1),0),"")</f>
        <v/>
      </c>
    </row>
    <row r="1196" ht="20.1" customHeight="1">
      <c r="A1196" s="12" t="inlineStr">
        <is>
          <t>Jugador 17</t>
        </is>
      </c>
      <c r="B1196" s="8" t="inlineStr">
        <is>
          <t>M43</t>
        </is>
      </c>
      <c r="C1196" s="12" t="inlineStr">
        <is>
          <t>Austria</t>
        </is>
      </c>
      <c r="D1196" s="12" t="inlineStr">
        <is>
          <t>Hungría</t>
        </is>
      </c>
      <c r="E1196" s="8" t="n"/>
      <c r="F1196" s="8" t="n"/>
      <c r="G1196" s="8">
        <f>IF(OR(ISBLANK(E1196),ISBLANK(F1196)),"",IF(E1196&gt;F1196,"Local",IF(E1196=F1196,"Empate","Visitante")))</f>
        <v/>
      </c>
      <c r="H1196" s="8">
        <f>IF(VLOOKUP(B1196,PARTIDOS!$A:$I,9,FALSE)="Cerrado",IF(G1196=VLOOKUP(B1196,PARTIDOS!$A:$I,8,FALSE),IF(AND(E1196=VLOOKUP(B1196,PARTIDOS!$A:$I,6,FALSE),F1196=VLOOKUP(B1196,PARTIDOS!$A:$I,7,FALSE)),3,1),0),"")</f>
        <v/>
      </c>
    </row>
    <row r="1197" ht="20.1" customHeight="1">
      <c r="A1197" s="12" t="inlineStr">
        <is>
          <t>Jugador 17</t>
        </is>
      </c>
      <c r="B1197" s="8" t="inlineStr">
        <is>
          <t>M44</t>
        </is>
      </c>
      <c r="C1197" s="12" t="inlineStr">
        <is>
          <t>Turquía</t>
        </is>
      </c>
      <c r="D1197" s="12" t="inlineStr">
        <is>
          <t>Escocia</t>
        </is>
      </c>
      <c r="E1197" s="8" t="n"/>
      <c r="F1197" s="8" t="n"/>
      <c r="G1197" s="8">
        <f>IF(OR(ISBLANK(E1197),ISBLANK(F1197)),"",IF(E1197&gt;F1197,"Local",IF(E1197=F1197,"Empate","Visitante")))</f>
        <v/>
      </c>
      <c r="H1197" s="8">
        <f>IF(VLOOKUP(B1197,PARTIDOS!$A:$I,9,FALSE)="Cerrado",IF(G1197=VLOOKUP(B1197,PARTIDOS!$A:$I,8,FALSE),IF(AND(E1197=VLOOKUP(B1197,PARTIDOS!$A:$I,6,FALSE),F1197=VLOOKUP(B1197,PARTIDOS!$A:$I,7,FALSE)),3,1),0),"")</f>
        <v/>
      </c>
    </row>
    <row r="1198" ht="20.1" customHeight="1">
      <c r="A1198" s="12" t="inlineStr">
        <is>
          <t>Jugador 17</t>
        </is>
      </c>
      <c r="B1198" s="8" t="inlineStr">
        <is>
          <t>M45</t>
        </is>
      </c>
      <c r="C1198" s="12" t="inlineStr">
        <is>
          <t>Austria</t>
        </is>
      </c>
      <c r="D1198" s="12" t="inlineStr">
        <is>
          <t>Turquía</t>
        </is>
      </c>
      <c r="E1198" s="8" t="n"/>
      <c r="F1198" s="8" t="n"/>
      <c r="G1198" s="8">
        <f>IF(OR(ISBLANK(E1198),ISBLANK(F1198)),"",IF(E1198&gt;F1198,"Local",IF(E1198=F1198,"Empate","Visitante")))</f>
        <v/>
      </c>
      <c r="H1198" s="8">
        <f>IF(VLOOKUP(B1198,PARTIDOS!$A:$I,9,FALSE)="Cerrado",IF(G1198=VLOOKUP(B1198,PARTIDOS!$A:$I,8,FALSE),IF(AND(E1198=VLOOKUP(B1198,PARTIDOS!$A:$I,6,FALSE),F1198=VLOOKUP(B1198,PARTIDOS!$A:$I,7,FALSE)),3,1),0),"")</f>
        <v/>
      </c>
    </row>
    <row r="1199" ht="20.1" customHeight="1">
      <c r="A1199" s="12" t="inlineStr">
        <is>
          <t>Jugador 17</t>
        </is>
      </c>
      <c r="B1199" s="8" t="inlineStr">
        <is>
          <t>M46</t>
        </is>
      </c>
      <c r="C1199" s="12" t="inlineStr">
        <is>
          <t>Hungría</t>
        </is>
      </c>
      <c r="D1199" s="12" t="inlineStr">
        <is>
          <t>Escocia</t>
        </is>
      </c>
      <c r="E1199" s="8" t="n"/>
      <c r="F1199" s="8" t="n"/>
      <c r="G1199" s="8">
        <f>IF(OR(ISBLANK(E1199),ISBLANK(F1199)),"",IF(E1199&gt;F1199,"Local",IF(E1199=F1199,"Empate","Visitante")))</f>
        <v/>
      </c>
      <c r="H1199" s="8">
        <f>IF(VLOOKUP(B1199,PARTIDOS!$A:$I,9,FALSE)="Cerrado",IF(G1199=VLOOKUP(B1199,PARTIDOS!$A:$I,8,FALSE),IF(AND(E1199=VLOOKUP(B1199,PARTIDOS!$A:$I,6,FALSE),F1199=VLOOKUP(B1199,PARTIDOS!$A:$I,7,FALSE)),3,1),0),"")</f>
        <v/>
      </c>
    </row>
    <row r="1200" ht="20.1" customHeight="1">
      <c r="A1200" s="12" t="inlineStr">
        <is>
          <t>Jugador 17</t>
        </is>
      </c>
      <c r="B1200" s="8" t="inlineStr">
        <is>
          <t>M47</t>
        </is>
      </c>
      <c r="C1200" s="12" t="inlineStr">
        <is>
          <t>Austria</t>
        </is>
      </c>
      <c r="D1200" s="12" t="inlineStr">
        <is>
          <t>Escocia</t>
        </is>
      </c>
      <c r="E1200" s="8" t="n"/>
      <c r="F1200" s="8" t="n"/>
      <c r="G1200" s="8">
        <f>IF(OR(ISBLANK(E1200),ISBLANK(F1200)),"",IF(E1200&gt;F1200,"Local",IF(E1200=F1200,"Empate","Visitante")))</f>
        <v/>
      </c>
      <c r="H1200" s="8">
        <f>IF(VLOOKUP(B1200,PARTIDOS!$A:$I,9,FALSE)="Cerrado",IF(G1200=VLOOKUP(B1200,PARTIDOS!$A:$I,8,FALSE),IF(AND(E1200=VLOOKUP(B1200,PARTIDOS!$A:$I,6,FALSE),F1200=VLOOKUP(B1200,PARTIDOS!$A:$I,7,FALSE)),3,1),0),"")</f>
        <v/>
      </c>
    </row>
    <row r="1201" ht="20.1" customHeight="1">
      <c r="A1201" s="12" t="inlineStr">
        <is>
          <t>Jugador 17</t>
        </is>
      </c>
      <c r="B1201" s="8" t="inlineStr">
        <is>
          <t>M48</t>
        </is>
      </c>
      <c r="C1201" s="12" t="inlineStr">
        <is>
          <t>Hungría</t>
        </is>
      </c>
      <c r="D1201" s="12" t="inlineStr">
        <is>
          <t>Turquía</t>
        </is>
      </c>
      <c r="E1201" s="8" t="n"/>
      <c r="F1201" s="8" t="n"/>
      <c r="G1201" s="8">
        <f>IF(OR(ISBLANK(E1201),ISBLANK(F1201)),"",IF(E1201&gt;F1201,"Local",IF(E1201=F1201,"Empate","Visitante")))</f>
        <v/>
      </c>
      <c r="H1201" s="8">
        <f>IF(VLOOKUP(B1201,PARTIDOS!$A:$I,9,FALSE)="Cerrado",IF(G1201=VLOOKUP(B1201,PARTIDOS!$A:$I,8,FALSE),IF(AND(E1201=VLOOKUP(B1201,PARTIDOS!$A:$I,6,FALSE),F1201=VLOOKUP(B1201,PARTIDOS!$A:$I,7,FALSE)),3,1),0),"")</f>
        <v/>
      </c>
    </row>
    <row r="1202" ht="20.1" customHeight="1">
      <c r="A1202" s="12" t="inlineStr">
        <is>
          <t>Jugador 17</t>
        </is>
      </c>
      <c r="B1202" s="8" t="inlineStr">
        <is>
          <t>M49</t>
        </is>
      </c>
      <c r="C1202" s="12" t="inlineStr">
        <is>
          <t>República Checa</t>
        </is>
      </c>
      <c r="D1202" s="12" t="inlineStr">
        <is>
          <t>Noruega</t>
        </is>
      </c>
      <c r="E1202" s="8" t="n"/>
      <c r="F1202" s="8" t="n"/>
      <c r="G1202" s="8">
        <f>IF(OR(ISBLANK(E1202),ISBLANK(F1202)),"",IF(E1202&gt;F1202,"Local",IF(E1202=F1202,"Empate","Visitante")))</f>
        <v/>
      </c>
      <c r="H1202" s="8">
        <f>IF(VLOOKUP(B1202,PARTIDOS!$A:$I,9,FALSE)="Cerrado",IF(G1202=VLOOKUP(B1202,PARTIDOS!$A:$I,8,FALSE),IF(AND(E1202=VLOOKUP(B1202,PARTIDOS!$A:$I,6,FALSE),F1202=VLOOKUP(B1202,PARTIDOS!$A:$I,7,FALSE)),3,1),0),"")</f>
        <v/>
      </c>
    </row>
    <row r="1203" ht="20.1" customHeight="1">
      <c r="A1203" s="12" t="inlineStr">
        <is>
          <t>Jugador 17</t>
        </is>
      </c>
      <c r="B1203" s="8" t="inlineStr">
        <is>
          <t>M50</t>
        </is>
      </c>
      <c r="C1203" s="12" t="inlineStr">
        <is>
          <t>Japón</t>
        </is>
      </c>
      <c r="D1203" s="12" t="inlineStr">
        <is>
          <t>Irán</t>
        </is>
      </c>
      <c r="E1203" s="8" t="n"/>
      <c r="F1203" s="8" t="n"/>
      <c r="G1203" s="8">
        <f>IF(OR(ISBLANK(E1203),ISBLANK(F1203)),"",IF(E1203&gt;F1203,"Local",IF(E1203=F1203,"Empate","Visitante")))</f>
        <v/>
      </c>
      <c r="H1203" s="8">
        <f>IF(VLOOKUP(B1203,PARTIDOS!$A:$I,9,FALSE)="Cerrado",IF(G1203=VLOOKUP(B1203,PARTIDOS!$A:$I,8,FALSE),IF(AND(E1203=VLOOKUP(B1203,PARTIDOS!$A:$I,6,FALSE),F1203=VLOOKUP(B1203,PARTIDOS!$A:$I,7,FALSE)),3,1),0),"")</f>
        <v/>
      </c>
    </row>
    <row r="1204" ht="20.1" customHeight="1">
      <c r="A1204" s="12" t="inlineStr">
        <is>
          <t>Jugador 17</t>
        </is>
      </c>
      <c r="B1204" s="8" t="inlineStr">
        <is>
          <t>M51</t>
        </is>
      </c>
      <c r="C1204" s="12" t="inlineStr">
        <is>
          <t>República Checa</t>
        </is>
      </c>
      <c r="D1204" s="12" t="inlineStr">
        <is>
          <t>Japón</t>
        </is>
      </c>
      <c r="E1204" s="8" t="n"/>
      <c r="F1204" s="8" t="n"/>
      <c r="G1204" s="8">
        <f>IF(OR(ISBLANK(E1204),ISBLANK(F1204)),"",IF(E1204&gt;F1204,"Local",IF(E1204=F1204,"Empate","Visitante")))</f>
        <v/>
      </c>
      <c r="H1204" s="8">
        <f>IF(VLOOKUP(B1204,PARTIDOS!$A:$I,9,FALSE)="Cerrado",IF(G1204=VLOOKUP(B1204,PARTIDOS!$A:$I,8,FALSE),IF(AND(E1204=VLOOKUP(B1204,PARTIDOS!$A:$I,6,FALSE),F1204=VLOOKUP(B1204,PARTIDOS!$A:$I,7,FALSE)),3,1),0),"")</f>
        <v/>
      </c>
    </row>
    <row r="1205" ht="20.1" customHeight="1">
      <c r="A1205" s="12" t="inlineStr">
        <is>
          <t>Jugador 17</t>
        </is>
      </c>
      <c r="B1205" s="8" t="inlineStr">
        <is>
          <t>M52</t>
        </is>
      </c>
      <c r="C1205" s="12" t="inlineStr">
        <is>
          <t>Noruega</t>
        </is>
      </c>
      <c r="D1205" s="12" t="inlineStr">
        <is>
          <t>Irán</t>
        </is>
      </c>
      <c r="E1205" s="8" t="n"/>
      <c r="F1205" s="8" t="n"/>
      <c r="G1205" s="8">
        <f>IF(OR(ISBLANK(E1205),ISBLANK(F1205)),"",IF(E1205&gt;F1205,"Local",IF(E1205=F1205,"Empate","Visitante")))</f>
        <v/>
      </c>
      <c r="H1205" s="8">
        <f>IF(VLOOKUP(B1205,PARTIDOS!$A:$I,9,FALSE)="Cerrado",IF(G1205=VLOOKUP(B1205,PARTIDOS!$A:$I,8,FALSE),IF(AND(E1205=VLOOKUP(B1205,PARTIDOS!$A:$I,6,FALSE),F1205=VLOOKUP(B1205,PARTIDOS!$A:$I,7,FALSE)),3,1),0),"")</f>
        <v/>
      </c>
    </row>
    <row r="1206" ht="20.1" customHeight="1">
      <c r="A1206" s="12" t="inlineStr">
        <is>
          <t>Jugador 17</t>
        </is>
      </c>
      <c r="B1206" s="8" t="inlineStr">
        <is>
          <t>M53</t>
        </is>
      </c>
      <c r="C1206" s="12" t="inlineStr">
        <is>
          <t>República Checa</t>
        </is>
      </c>
      <c r="D1206" s="12" t="inlineStr">
        <is>
          <t>Irán</t>
        </is>
      </c>
      <c r="E1206" s="8" t="n"/>
      <c r="F1206" s="8" t="n"/>
      <c r="G1206" s="8">
        <f>IF(OR(ISBLANK(E1206),ISBLANK(F1206)),"",IF(E1206&gt;F1206,"Local",IF(E1206=F1206,"Empate","Visitante")))</f>
        <v/>
      </c>
      <c r="H1206" s="8">
        <f>IF(VLOOKUP(B1206,PARTIDOS!$A:$I,9,FALSE)="Cerrado",IF(G1206=VLOOKUP(B1206,PARTIDOS!$A:$I,8,FALSE),IF(AND(E1206=VLOOKUP(B1206,PARTIDOS!$A:$I,6,FALSE),F1206=VLOOKUP(B1206,PARTIDOS!$A:$I,7,FALSE)),3,1),0),"")</f>
        <v/>
      </c>
    </row>
    <row r="1207" ht="20.1" customHeight="1">
      <c r="A1207" s="12" t="inlineStr">
        <is>
          <t>Jugador 17</t>
        </is>
      </c>
      <c r="B1207" s="8" t="inlineStr">
        <is>
          <t>M54</t>
        </is>
      </c>
      <c r="C1207" s="12" t="inlineStr">
        <is>
          <t>Noruega</t>
        </is>
      </c>
      <c r="D1207" s="12" t="inlineStr">
        <is>
          <t>Japón</t>
        </is>
      </c>
      <c r="E1207" s="8" t="n"/>
      <c r="F1207" s="8" t="n"/>
      <c r="G1207" s="8">
        <f>IF(OR(ISBLANK(E1207),ISBLANK(F1207)),"",IF(E1207&gt;F1207,"Local",IF(E1207=F1207,"Empate","Visitante")))</f>
        <v/>
      </c>
      <c r="H1207" s="8">
        <f>IF(VLOOKUP(B1207,PARTIDOS!$A:$I,9,FALSE)="Cerrado",IF(G1207=VLOOKUP(B1207,PARTIDOS!$A:$I,8,FALSE),IF(AND(E1207=VLOOKUP(B1207,PARTIDOS!$A:$I,6,FALSE),F1207=VLOOKUP(B1207,PARTIDOS!$A:$I,7,FALSE)),3,1),0),"")</f>
        <v/>
      </c>
    </row>
    <row r="1208" ht="20.1" customHeight="1">
      <c r="A1208" s="12" t="inlineStr">
        <is>
          <t>Jugador 17</t>
        </is>
      </c>
      <c r="B1208" s="8" t="inlineStr">
        <is>
          <t>M55</t>
        </is>
      </c>
      <c r="C1208" s="12" t="inlineStr">
        <is>
          <t>Corea del Sur</t>
        </is>
      </c>
      <c r="D1208" s="12" t="inlineStr">
        <is>
          <t>Australia</t>
        </is>
      </c>
      <c r="E1208" s="8" t="n"/>
      <c r="F1208" s="8" t="n"/>
      <c r="G1208" s="8">
        <f>IF(OR(ISBLANK(E1208),ISBLANK(F1208)),"",IF(E1208&gt;F1208,"Local",IF(E1208=F1208,"Empate","Visitante")))</f>
        <v/>
      </c>
      <c r="H1208" s="8">
        <f>IF(VLOOKUP(B1208,PARTIDOS!$A:$I,9,FALSE)="Cerrado",IF(G1208=VLOOKUP(B1208,PARTIDOS!$A:$I,8,FALSE),IF(AND(E1208=VLOOKUP(B1208,PARTIDOS!$A:$I,6,FALSE),F1208=VLOOKUP(B1208,PARTIDOS!$A:$I,7,FALSE)),3,1),0),"")</f>
        <v/>
      </c>
    </row>
    <row r="1209" ht="20.1" customHeight="1">
      <c r="A1209" s="12" t="inlineStr">
        <is>
          <t>Jugador 17</t>
        </is>
      </c>
      <c r="B1209" s="8" t="inlineStr">
        <is>
          <t>M56</t>
        </is>
      </c>
      <c r="C1209" s="12" t="inlineStr">
        <is>
          <t>Marruecos</t>
        </is>
      </c>
      <c r="D1209" s="12" t="inlineStr">
        <is>
          <t>Senegal</t>
        </is>
      </c>
      <c r="E1209" s="8" t="n"/>
      <c r="F1209" s="8" t="n"/>
      <c r="G1209" s="8">
        <f>IF(OR(ISBLANK(E1209),ISBLANK(F1209)),"",IF(E1209&gt;F1209,"Local",IF(E1209=F1209,"Empate","Visitante")))</f>
        <v/>
      </c>
      <c r="H1209" s="8">
        <f>IF(VLOOKUP(B1209,PARTIDOS!$A:$I,9,FALSE)="Cerrado",IF(G1209=VLOOKUP(B1209,PARTIDOS!$A:$I,8,FALSE),IF(AND(E1209=VLOOKUP(B1209,PARTIDOS!$A:$I,6,FALSE),F1209=VLOOKUP(B1209,PARTIDOS!$A:$I,7,FALSE)),3,1),0),"")</f>
        <v/>
      </c>
    </row>
    <row r="1210" ht="20.1" customHeight="1">
      <c r="A1210" s="12" t="inlineStr">
        <is>
          <t>Jugador 17</t>
        </is>
      </c>
      <c r="B1210" s="8" t="inlineStr">
        <is>
          <t>M57</t>
        </is>
      </c>
      <c r="C1210" s="12" t="inlineStr">
        <is>
          <t>Corea del Sur</t>
        </is>
      </c>
      <c r="D1210" s="12" t="inlineStr">
        <is>
          <t>Marruecos</t>
        </is>
      </c>
      <c r="E1210" s="8" t="n"/>
      <c r="F1210" s="8" t="n"/>
      <c r="G1210" s="8">
        <f>IF(OR(ISBLANK(E1210),ISBLANK(F1210)),"",IF(E1210&gt;F1210,"Local",IF(E1210=F1210,"Empate","Visitante")))</f>
        <v/>
      </c>
      <c r="H1210" s="8">
        <f>IF(VLOOKUP(B1210,PARTIDOS!$A:$I,9,FALSE)="Cerrado",IF(G1210=VLOOKUP(B1210,PARTIDOS!$A:$I,8,FALSE),IF(AND(E1210=VLOOKUP(B1210,PARTIDOS!$A:$I,6,FALSE),F1210=VLOOKUP(B1210,PARTIDOS!$A:$I,7,FALSE)),3,1),0),"")</f>
        <v/>
      </c>
    </row>
    <row r="1211" ht="20.1" customHeight="1">
      <c r="A1211" s="12" t="inlineStr">
        <is>
          <t>Jugador 17</t>
        </is>
      </c>
      <c r="B1211" s="8" t="inlineStr">
        <is>
          <t>M58</t>
        </is>
      </c>
      <c r="C1211" s="12" t="inlineStr">
        <is>
          <t>Australia</t>
        </is>
      </c>
      <c r="D1211" s="12" t="inlineStr">
        <is>
          <t>Senegal</t>
        </is>
      </c>
      <c r="E1211" s="8" t="n"/>
      <c r="F1211" s="8" t="n"/>
      <c r="G1211" s="8">
        <f>IF(OR(ISBLANK(E1211),ISBLANK(F1211)),"",IF(E1211&gt;F1211,"Local",IF(E1211=F1211,"Empate","Visitante")))</f>
        <v/>
      </c>
      <c r="H1211" s="8">
        <f>IF(VLOOKUP(B1211,PARTIDOS!$A:$I,9,FALSE)="Cerrado",IF(G1211=VLOOKUP(B1211,PARTIDOS!$A:$I,8,FALSE),IF(AND(E1211=VLOOKUP(B1211,PARTIDOS!$A:$I,6,FALSE),F1211=VLOOKUP(B1211,PARTIDOS!$A:$I,7,FALSE)),3,1),0),"")</f>
        <v/>
      </c>
    </row>
    <row r="1212" ht="20.1" customHeight="1">
      <c r="A1212" s="12" t="inlineStr">
        <is>
          <t>Jugador 17</t>
        </is>
      </c>
      <c r="B1212" s="8" t="inlineStr">
        <is>
          <t>M59</t>
        </is>
      </c>
      <c r="C1212" s="12" t="inlineStr">
        <is>
          <t>Corea del Sur</t>
        </is>
      </c>
      <c r="D1212" s="12" t="inlineStr">
        <is>
          <t>Senegal</t>
        </is>
      </c>
      <c r="E1212" s="8" t="n"/>
      <c r="F1212" s="8" t="n"/>
      <c r="G1212" s="8">
        <f>IF(OR(ISBLANK(E1212),ISBLANK(F1212)),"",IF(E1212&gt;F1212,"Local",IF(E1212=F1212,"Empate","Visitante")))</f>
        <v/>
      </c>
      <c r="H1212" s="8">
        <f>IF(VLOOKUP(B1212,PARTIDOS!$A:$I,9,FALSE)="Cerrado",IF(G1212=VLOOKUP(B1212,PARTIDOS!$A:$I,8,FALSE),IF(AND(E1212=VLOOKUP(B1212,PARTIDOS!$A:$I,6,FALSE),F1212=VLOOKUP(B1212,PARTIDOS!$A:$I,7,FALSE)),3,1),0),"")</f>
        <v/>
      </c>
    </row>
    <row r="1213" ht="20.1" customHeight="1">
      <c r="A1213" s="12" t="inlineStr">
        <is>
          <t>Jugador 17</t>
        </is>
      </c>
      <c r="B1213" s="8" t="inlineStr">
        <is>
          <t>M60</t>
        </is>
      </c>
      <c r="C1213" s="12" t="inlineStr">
        <is>
          <t>Australia</t>
        </is>
      </c>
      <c r="D1213" s="12" t="inlineStr">
        <is>
          <t>Marruecos</t>
        </is>
      </c>
      <c r="E1213" s="8" t="n"/>
      <c r="F1213" s="8" t="n"/>
      <c r="G1213" s="8">
        <f>IF(OR(ISBLANK(E1213),ISBLANK(F1213)),"",IF(E1213&gt;F1213,"Local",IF(E1213=F1213,"Empate","Visitante")))</f>
        <v/>
      </c>
      <c r="H1213" s="8">
        <f>IF(VLOOKUP(B1213,PARTIDOS!$A:$I,9,FALSE)="Cerrado",IF(G1213=VLOOKUP(B1213,PARTIDOS!$A:$I,8,FALSE),IF(AND(E1213=VLOOKUP(B1213,PARTIDOS!$A:$I,6,FALSE),F1213=VLOOKUP(B1213,PARTIDOS!$A:$I,7,FALSE)),3,1),0),"")</f>
        <v/>
      </c>
    </row>
    <row r="1214" ht="20.1" customHeight="1">
      <c r="A1214" s="12" t="inlineStr">
        <is>
          <t>Jugador 17</t>
        </is>
      </c>
      <c r="B1214" s="8" t="inlineStr">
        <is>
          <t>M61</t>
        </is>
      </c>
      <c r="C1214" s="12" t="inlineStr">
        <is>
          <t>Túnez</t>
        </is>
      </c>
      <c r="D1214" s="12" t="inlineStr">
        <is>
          <t>Nigeria</t>
        </is>
      </c>
      <c r="E1214" s="8" t="n"/>
      <c r="F1214" s="8" t="n"/>
      <c r="G1214" s="8">
        <f>IF(OR(ISBLANK(E1214),ISBLANK(F1214)),"",IF(E1214&gt;F1214,"Local",IF(E1214=F1214,"Empate","Visitante")))</f>
        <v/>
      </c>
      <c r="H1214" s="8">
        <f>IF(VLOOKUP(B1214,PARTIDOS!$A:$I,9,FALSE)="Cerrado",IF(G1214=VLOOKUP(B1214,PARTIDOS!$A:$I,8,FALSE),IF(AND(E1214=VLOOKUP(B1214,PARTIDOS!$A:$I,6,FALSE),F1214=VLOOKUP(B1214,PARTIDOS!$A:$I,7,FALSE)),3,1),0),"")</f>
        <v/>
      </c>
    </row>
    <row r="1215" ht="20.1" customHeight="1">
      <c r="A1215" s="12" t="inlineStr">
        <is>
          <t>Jugador 17</t>
        </is>
      </c>
      <c r="B1215" s="8" t="inlineStr">
        <is>
          <t>M62</t>
        </is>
      </c>
      <c r="C1215" s="12" t="inlineStr">
        <is>
          <t>Camerún</t>
        </is>
      </c>
      <c r="D1215" s="12" t="inlineStr">
        <is>
          <t>Egipto</t>
        </is>
      </c>
      <c r="E1215" s="8" t="n"/>
      <c r="F1215" s="8" t="n"/>
      <c r="G1215" s="8">
        <f>IF(OR(ISBLANK(E1215),ISBLANK(F1215)),"",IF(E1215&gt;F1215,"Local",IF(E1215=F1215,"Empate","Visitante")))</f>
        <v/>
      </c>
      <c r="H1215" s="8">
        <f>IF(VLOOKUP(B1215,PARTIDOS!$A:$I,9,FALSE)="Cerrado",IF(G1215=VLOOKUP(B1215,PARTIDOS!$A:$I,8,FALSE),IF(AND(E1215=VLOOKUP(B1215,PARTIDOS!$A:$I,6,FALSE),F1215=VLOOKUP(B1215,PARTIDOS!$A:$I,7,FALSE)),3,1),0),"")</f>
        <v/>
      </c>
    </row>
    <row r="1216" ht="20.1" customHeight="1">
      <c r="A1216" s="12" t="inlineStr">
        <is>
          <t>Jugador 17</t>
        </is>
      </c>
      <c r="B1216" s="8" t="inlineStr">
        <is>
          <t>M63</t>
        </is>
      </c>
      <c r="C1216" s="12" t="inlineStr">
        <is>
          <t>Túnez</t>
        </is>
      </c>
      <c r="D1216" s="12" t="inlineStr">
        <is>
          <t>Camerún</t>
        </is>
      </c>
      <c r="E1216" s="8" t="n"/>
      <c r="F1216" s="8" t="n"/>
      <c r="G1216" s="8">
        <f>IF(OR(ISBLANK(E1216),ISBLANK(F1216)),"",IF(E1216&gt;F1216,"Local",IF(E1216=F1216,"Empate","Visitante")))</f>
        <v/>
      </c>
      <c r="H1216" s="8">
        <f>IF(VLOOKUP(B1216,PARTIDOS!$A:$I,9,FALSE)="Cerrado",IF(G1216=VLOOKUP(B1216,PARTIDOS!$A:$I,8,FALSE),IF(AND(E1216=VLOOKUP(B1216,PARTIDOS!$A:$I,6,FALSE),F1216=VLOOKUP(B1216,PARTIDOS!$A:$I,7,FALSE)),3,1),0),"")</f>
        <v/>
      </c>
    </row>
    <row r="1217" ht="20.1" customHeight="1">
      <c r="A1217" s="12" t="inlineStr">
        <is>
          <t>Jugador 17</t>
        </is>
      </c>
      <c r="B1217" s="8" t="inlineStr">
        <is>
          <t>M64</t>
        </is>
      </c>
      <c r="C1217" s="12" t="inlineStr">
        <is>
          <t>Nigeria</t>
        </is>
      </c>
      <c r="D1217" s="12" t="inlineStr">
        <is>
          <t>Egipto</t>
        </is>
      </c>
      <c r="E1217" s="8" t="n"/>
      <c r="F1217" s="8" t="n"/>
      <c r="G1217" s="8">
        <f>IF(OR(ISBLANK(E1217),ISBLANK(F1217)),"",IF(E1217&gt;F1217,"Local",IF(E1217=F1217,"Empate","Visitante")))</f>
        <v/>
      </c>
      <c r="H1217" s="8">
        <f>IF(VLOOKUP(B1217,PARTIDOS!$A:$I,9,FALSE)="Cerrado",IF(G1217=VLOOKUP(B1217,PARTIDOS!$A:$I,8,FALSE),IF(AND(E1217=VLOOKUP(B1217,PARTIDOS!$A:$I,6,FALSE),F1217=VLOOKUP(B1217,PARTIDOS!$A:$I,7,FALSE)),3,1),0),"")</f>
        <v/>
      </c>
    </row>
    <row r="1218" ht="20.1" customHeight="1">
      <c r="A1218" s="12" t="inlineStr">
        <is>
          <t>Jugador 17</t>
        </is>
      </c>
      <c r="B1218" s="8" t="inlineStr">
        <is>
          <t>M65</t>
        </is>
      </c>
      <c r="C1218" s="12" t="inlineStr">
        <is>
          <t>Túnez</t>
        </is>
      </c>
      <c r="D1218" s="12" t="inlineStr">
        <is>
          <t>Egipto</t>
        </is>
      </c>
      <c r="E1218" s="8" t="n"/>
      <c r="F1218" s="8" t="n"/>
      <c r="G1218" s="8">
        <f>IF(OR(ISBLANK(E1218),ISBLANK(F1218)),"",IF(E1218&gt;F1218,"Local",IF(E1218=F1218,"Empate","Visitante")))</f>
        <v/>
      </c>
      <c r="H1218" s="8">
        <f>IF(VLOOKUP(B1218,PARTIDOS!$A:$I,9,FALSE)="Cerrado",IF(G1218=VLOOKUP(B1218,PARTIDOS!$A:$I,8,FALSE),IF(AND(E1218=VLOOKUP(B1218,PARTIDOS!$A:$I,6,FALSE),F1218=VLOOKUP(B1218,PARTIDOS!$A:$I,7,FALSE)),3,1),0),"")</f>
        <v/>
      </c>
    </row>
    <row r="1219" ht="20.1" customHeight="1">
      <c r="A1219" s="12" t="inlineStr">
        <is>
          <t>Jugador 17</t>
        </is>
      </c>
      <c r="B1219" s="8" t="inlineStr">
        <is>
          <t>M66</t>
        </is>
      </c>
      <c r="C1219" s="12" t="inlineStr">
        <is>
          <t>Nigeria</t>
        </is>
      </c>
      <c r="D1219" s="12" t="inlineStr">
        <is>
          <t>Camerún</t>
        </is>
      </c>
      <c r="E1219" s="8" t="n"/>
      <c r="F1219" s="8" t="n"/>
      <c r="G1219" s="8">
        <f>IF(OR(ISBLANK(E1219),ISBLANK(F1219)),"",IF(E1219&gt;F1219,"Local",IF(E1219=F1219,"Empate","Visitante")))</f>
        <v/>
      </c>
      <c r="H1219" s="8">
        <f>IF(VLOOKUP(B1219,PARTIDOS!$A:$I,9,FALSE)="Cerrado",IF(G1219=VLOOKUP(B1219,PARTIDOS!$A:$I,8,FALSE),IF(AND(E1219=VLOOKUP(B1219,PARTIDOS!$A:$I,6,FALSE),F1219=VLOOKUP(B1219,PARTIDOS!$A:$I,7,FALSE)),3,1),0),"")</f>
        <v/>
      </c>
    </row>
    <row r="1220" ht="20.1" customHeight="1">
      <c r="A1220" s="12" t="inlineStr">
        <is>
          <t>Jugador 17</t>
        </is>
      </c>
      <c r="B1220" s="8" t="inlineStr">
        <is>
          <t>M67</t>
        </is>
      </c>
      <c r="C1220" s="12" t="inlineStr">
        <is>
          <t>Costa de Marfil</t>
        </is>
      </c>
      <c r="D1220" s="12" t="inlineStr">
        <is>
          <t>Sudáfrica</t>
        </is>
      </c>
      <c r="E1220" s="8" t="n"/>
      <c r="F1220" s="8" t="n"/>
      <c r="G1220" s="8">
        <f>IF(OR(ISBLANK(E1220),ISBLANK(F1220)),"",IF(E1220&gt;F1220,"Local",IF(E1220=F1220,"Empate","Visitante")))</f>
        <v/>
      </c>
      <c r="H1220" s="8">
        <f>IF(VLOOKUP(B1220,PARTIDOS!$A:$I,9,FALSE)="Cerrado",IF(G1220=VLOOKUP(B1220,PARTIDOS!$A:$I,8,FALSE),IF(AND(E1220=VLOOKUP(B1220,PARTIDOS!$A:$I,6,FALSE),F1220=VLOOKUP(B1220,PARTIDOS!$A:$I,7,FALSE)),3,1),0),"")</f>
        <v/>
      </c>
    </row>
    <row r="1221" ht="20.1" customHeight="1">
      <c r="A1221" s="12" t="inlineStr">
        <is>
          <t>Jugador 17</t>
        </is>
      </c>
      <c r="B1221" s="8" t="inlineStr">
        <is>
          <t>M68</t>
        </is>
      </c>
      <c r="C1221" s="12" t="inlineStr">
        <is>
          <t>Panáma</t>
        </is>
      </c>
      <c r="D1221" s="12" t="inlineStr">
        <is>
          <t>Nueva Zelanda</t>
        </is>
      </c>
      <c r="E1221" s="8" t="n"/>
      <c r="F1221" s="8" t="n"/>
      <c r="G1221" s="8">
        <f>IF(OR(ISBLANK(E1221),ISBLANK(F1221)),"",IF(E1221&gt;F1221,"Local",IF(E1221=F1221,"Empate","Visitante")))</f>
        <v/>
      </c>
      <c r="H1221" s="8">
        <f>IF(VLOOKUP(B1221,PARTIDOS!$A:$I,9,FALSE)="Cerrado",IF(G1221=VLOOKUP(B1221,PARTIDOS!$A:$I,8,FALSE),IF(AND(E1221=VLOOKUP(B1221,PARTIDOS!$A:$I,6,FALSE),F1221=VLOOKUP(B1221,PARTIDOS!$A:$I,7,FALSE)),3,1),0),"")</f>
        <v/>
      </c>
    </row>
    <row r="1222" ht="20.1" customHeight="1">
      <c r="A1222" s="12" t="inlineStr">
        <is>
          <t>Jugador 17</t>
        </is>
      </c>
      <c r="B1222" s="8" t="inlineStr">
        <is>
          <t>M69</t>
        </is>
      </c>
      <c r="C1222" s="12" t="inlineStr">
        <is>
          <t>Costa de Marfil</t>
        </is>
      </c>
      <c r="D1222" s="12" t="inlineStr">
        <is>
          <t>Panáma</t>
        </is>
      </c>
      <c r="E1222" s="8" t="n"/>
      <c r="F1222" s="8" t="n"/>
      <c r="G1222" s="8">
        <f>IF(OR(ISBLANK(E1222),ISBLANK(F1222)),"",IF(E1222&gt;F1222,"Local",IF(E1222=F1222,"Empate","Visitante")))</f>
        <v/>
      </c>
      <c r="H1222" s="8">
        <f>IF(VLOOKUP(B1222,PARTIDOS!$A:$I,9,FALSE)="Cerrado",IF(G1222=VLOOKUP(B1222,PARTIDOS!$A:$I,8,FALSE),IF(AND(E1222=VLOOKUP(B1222,PARTIDOS!$A:$I,6,FALSE),F1222=VLOOKUP(B1222,PARTIDOS!$A:$I,7,FALSE)),3,1),0),"")</f>
        <v/>
      </c>
    </row>
    <row r="1223" ht="20.1" customHeight="1">
      <c r="A1223" s="12" t="inlineStr">
        <is>
          <t>Jugador 17</t>
        </is>
      </c>
      <c r="B1223" s="8" t="inlineStr">
        <is>
          <t>M70</t>
        </is>
      </c>
      <c r="C1223" s="12" t="inlineStr">
        <is>
          <t>Sudáfrica</t>
        </is>
      </c>
      <c r="D1223" s="12" t="inlineStr">
        <is>
          <t>Nueva Zelanda</t>
        </is>
      </c>
      <c r="E1223" s="8" t="n"/>
      <c r="F1223" s="8" t="n"/>
      <c r="G1223" s="8">
        <f>IF(OR(ISBLANK(E1223),ISBLANK(F1223)),"",IF(E1223&gt;F1223,"Local",IF(E1223=F1223,"Empate","Visitante")))</f>
        <v/>
      </c>
      <c r="H1223" s="8">
        <f>IF(VLOOKUP(B1223,PARTIDOS!$A:$I,9,FALSE)="Cerrado",IF(G1223=VLOOKUP(B1223,PARTIDOS!$A:$I,8,FALSE),IF(AND(E1223=VLOOKUP(B1223,PARTIDOS!$A:$I,6,FALSE),F1223=VLOOKUP(B1223,PARTIDOS!$A:$I,7,FALSE)),3,1),0),"")</f>
        <v/>
      </c>
    </row>
    <row r="1224" ht="20.1" customHeight="1">
      <c r="A1224" s="12" t="inlineStr">
        <is>
          <t>Jugador 17</t>
        </is>
      </c>
      <c r="B1224" s="8" t="inlineStr">
        <is>
          <t>M71</t>
        </is>
      </c>
      <c r="C1224" s="12" t="inlineStr">
        <is>
          <t>Costa de Marfil</t>
        </is>
      </c>
      <c r="D1224" s="12" t="inlineStr">
        <is>
          <t>Nueva Zelanda</t>
        </is>
      </c>
      <c r="E1224" s="8" t="n"/>
      <c r="F1224" s="8" t="n"/>
      <c r="G1224" s="8">
        <f>IF(OR(ISBLANK(E1224),ISBLANK(F1224)),"",IF(E1224&gt;F1224,"Local",IF(E1224=F1224,"Empate","Visitante")))</f>
        <v/>
      </c>
      <c r="H1224" s="8">
        <f>IF(VLOOKUP(B1224,PARTIDOS!$A:$I,9,FALSE)="Cerrado",IF(G1224=VLOOKUP(B1224,PARTIDOS!$A:$I,8,FALSE),IF(AND(E1224=VLOOKUP(B1224,PARTIDOS!$A:$I,6,FALSE),F1224=VLOOKUP(B1224,PARTIDOS!$A:$I,7,FALSE)),3,1),0),"")</f>
        <v/>
      </c>
    </row>
    <row r="1225" ht="20.1" customHeight="1">
      <c r="A1225" s="12" t="inlineStr">
        <is>
          <t>Jugador 17</t>
        </is>
      </c>
      <c r="B1225" s="8" t="inlineStr">
        <is>
          <t>M72</t>
        </is>
      </c>
      <c r="C1225" s="12" t="inlineStr">
        <is>
          <t>Sudáfrica</t>
        </is>
      </c>
      <c r="D1225" s="12" t="inlineStr">
        <is>
          <t>Panáma</t>
        </is>
      </c>
      <c r="E1225" s="8" t="n"/>
      <c r="F1225" s="8" t="n"/>
      <c r="G1225" s="8">
        <f>IF(OR(ISBLANK(E1225),ISBLANK(F1225)),"",IF(E1225&gt;F1225,"Local",IF(E1225=F1225,"Empate","Visitante")))</f>
        <v/>
      </c>
      <c r="H1225" s="8">
        <f>IF(VLOOKUP(B1225,PARTIDOS!$A:$I,9,FALSE)="Cerrado",IF(G1225=VLOOKUP(B1225,PARTIDOS!$A:$I,8,FALSE),IF(AND(E1225=VLOOKUP(B1225,PARTIDOS!$A:$I,6,FALSE),F1225=VLOOKUP(B1225,PARTIDOS!$A:$I,7,FALSE)),3,1),0),"")</f>
        <v/>
      </c>
    </row>
    <row r="1226" ht="20.1" customHeight="1">
      <c r="A1226" s="12" t="inlineStr">
        <is>
          <t>Jugador 18</t>
        </is>
      </c>
      <c r="B1226" s="8" t="inlineStr">
        <is>
          <t>M01</t>
        </is>
      </c>
      <c r="C1226" s="12" t="inlineStr">
        <is>
          <t>México</t>
        </is>
      </c>
      <c r="D1226" s="12" t="inlineStr">
        <is>
          <t>EEUU</t>
        </is>
      </c>
      <c r="E1226" s="8" t="n"/>
      <c r="F1226" s="8" t="n"/>
      <c r="G1226" s="8">
        <f>IF(OR(ISBLANK(E1226),ISBLANK(F1226)),"",IF(E1226&gt;F1226,"Local",IF(E1226=F1226,"Empate","Visitante")))</f>
        <v/>
      </c>
      <c r="H1226" s="8">
        <f>IF(VLOOKUP(B1226,PARTIDOS!$A:$I,9,FALSE)="Cerrado",IF(G1226=VLOOKUP(B1226,PARTIDOS!$A:$I,8,FALSE),IF(AND(E1226=VLOOKUP(B1226,PARTIDOS!$A:$I,6,FALSE),F1226=VLOOKUP(B1226,PARTIDOS!$A:$I,7,FALSE)),3,1),0),"")</f>
        <v/>
      </c>
    </row>
    <row r="1227" ht="20.1" customHeight="1">
      <c r="A1227" s="12" t="inlineStr">
        <is>
          <t>Jugador 18</t>
        </is>
      </c>
      <c r="B1227" s="8" t="inlineStr">
        <is>
          <t>M02</t>
        </is>
      </c>
      <c r="C1227" s="12" t="inlineStr">
        <is>
          <t>Canadá</t>
        </is>
      </c>
      <c r="D1227" s="12" t="inlineStr">
        <is>
          <t>Jamaica</t>
        </is>
      </c>
      <c r="E1227" s="8" t="n"/>
      <c r="F1227" s="8" t="n"/>
      <c r="G1227" s="8">
        <f>IF(OR(ISBLANK(E1227),ISBLANK(F1227)),"",IF(E1227&gt;F1227,"Local",IF(E1227=F1227,"Empate","Visitante")))</f>
        <v/>
      </c>
      <c r="H1227" s="8">
        <f>IF(VLOOKUP(B1227,PARTIDOS!$A:$I,9,FALSE)="Cerrado",IF(G1227=VLOOKUP(B1227,PARTIDOS!$A:$I,8,FALSE),IF(AND(E1227=VLOOKUP(B1227,PARTIDOS!$A:$I,6,FALSE),F1227=VLOOKUP(B1227,PARTIDOS!$A:$I,7,FALSE)),3,1),0),"")</f>
        <v/>
      </c>
    </row>
    <row r="1228" ht="20.1" customHeight="1">
      <c r="A1228" s="12" t="inlineStr">
        <is>
          <t>Jugador 18</t>
        </is>
      </c>
      <c r="B1228" s="8" t="inlineStr">
        <is>
          <t>M03</t>
        </is>
      </c>
      <c r="C1228" s="12" t="inlineStr">
        <is>
          <t>México</t>
        </is>
      </c>
      <c r="D1228" s="12" t="inlineStr">
        <is>
          <t>Canadá</t>
        </is>
      </c>
      <c r="E1228" s="8" t="n"/>
      <c r="F1228" s="8" t="n"/>
      <c r="G1228" s="8">
        <f>IF(OR(ISBLANK(E1228),ISBLANK(F1228)),"",IF(E1228&gt;F1228,"Local",IF(E1228=F1228,"Empate","Visitante")))</f>
        <v/>
      </c>
      <c r="H1228" s="8">
        <f>IF(VLOOKUP(B1228,PARTIDOS!$A:$I,9,FALSE)="Cerrado",IF(G1228=VLOOKUP(B1228,PARTIDOS!$A:$I,8,FALSE),IF(AND(E1228=VLOOKUP(B1228,PARTIDOS!$A:$I,6,FALSE),F1228=VLOOKUP(B1228,PARTIDOS!$A:$I,7,FALSE)),3,1),0),"")</f>
        <v/>
      </c>
    </row>
    <row r="1229" ht="20.1" customHeight="1">
      <c r="A1229" s="12" t="inlineStr">
        <is>
          <t>Jugador 18</t>
        </is>
      </c>
      <c r="B1229" s="8" t="inlineStr">
        <is>
          <t>M04</t>
        </is>
      </c>
      <c r="C1229" s="12" t="inlineStr">
        <is>
          <t>EEUU</t>
        </is>
      </c>
      <c r="D1229" s="12" t="inlineStr">
        <is>
          <t>Jamaica</t>
        </is>
      </c>
      <c r="E1229" s="8" t="n"/>
      <c r="F1229" s="8" t="n"/>
      <c r="G1229" s="8">
        <f>IF(OR(ISBLANK(E1229),ISBLANK(F1229)),"",IF(E1229&gt;F1229,"Local",IF(E1229=F1229,"Empate","Visitante")))</f>
        <v/>
      </c>
      <c r="H1229" s="8">
        <f>IF(VLOOKUP(B1229,PARTIDOS!$A:$I,9,FALSE)="Cerrado",IF(G1229=VLOOKUP(B1229,PARTIDOS!$A:$I,8,FALSE),IF(AND(E1229=VLOOKUP(B1229,PARTIDOS!$A:$I,6,FALSE),F1229=VLOOKUP(B1229,PARTIDOS!$A:$I,7,FALSE)),3,1),0),"")</f>
        <v/>
      </c>
    </row>
    <row r="1230" ht="20.1" customHeight="1">
      <c r="A1230" s="12" t="inlineStr">
        <is>
          <t>Jugador 18</t>
        </is>
      </c>
      <c r="B1230" s="8" t="inlineStr">
        <is>
          <t>M05</t>
        </is>
      </c>
      <c r="C1230" s="12" t="inlineStr">
        <is>
          <t>México</t>
        </is>
      </c>
      <c r="D1230" s="12" t="inlineStr">
        <is>
          <t>Jamaica</t>
        </is>
      </c>
      <c r="E1230" s="8" t="n"/>
      <c r="F1230" s="8" t="n"/>
      <c r="G1230" s="8">
        <f>IF(OR(ISBLANK(E1230),ISBLANK(F1230)),"",IF(E1230&gt;F1230,"Local",IF(E1230=F1230,"Empate","Visitante")))</f>
        <v/>
      </c>
      <c r="H1230" s="8">
        <f>IF(VLOOKUP(B1230,PARTIDOS!$A:$I,9,FALSE)="Cerrado",IF(G1230=VLOOKUP(B1230,PARTIDOS!$A:$I,8,FALSE),IF(AND(E1230=VLOOKUP(B1230,PARTIDOS!$A:$I,6,FALSE),F1230=VLOOKUP(B1230,PARTIDOS!$A:$I,7,FALSE)),3,1),0),"")</f>
        <v/>
      </c>
    </row>
    <row r="1231" ht="20.1" customHeight="1">
      <c r="A1231" s="12" t="inlineStr">
        <is>
          <t>Jugador 18</t>
        </is>
      </c>
      <c r="B1231" s="8" t="inlineStr">
        <is>
          <t>M06</t>
        </is>
      </c>
      <c r="C1231" s="12" t="inlineStr">
        <is>
          <t>EEUU</t>
        </is>
      </c>
      <c r="D1231" s="12" t="inlineStr">
        <is>
          <t>Canadá</t>
        </is>
      </c>
      <c r="E1231" s="8" t="n"/>
      <c r="F1231" s="8" t="n"/>
      <c r="G1231" s="8">
        <f>IF(OR(ISBLANK(E1231),ISBLANK(F1231)),"",IF(E1231&gt;F1231,"Local",IF(E1231=F1231,"Empate","Visitante")))</f>
        <v/>
      </c>
      <c r="H1231" s="8">
        <f>IF(VLOOKUP(B1231,PARTIDOS!$A:$I,9,FALSE)="Cerrado",IF(G1231=VLOOKUP(B1231,PARTIDOS!$A:$I,8,FALSE),IF(AND(E1231=VLOOKUP(B1231,PARTIDOS!$A:$I,6,FALSE),F1231=VLOOKUP(B1231,PARTIDOS!$A:$I,7,FALSE)),3,1),0),"")</f>
        <v/>
      </c>
    </row>
    <row r="1232" ht="20.1" customHeight="1">
      <c r="A1232" s="12" t="inlineStr">
        <is>
          <t>Jugador 18</t>
        </is>
      </c>
      <c r="B1232" s="8" t="inlineStr">
        <is>
          <t>M07</t>
        </is>
      </c>
      <c r="C1232" s="12" t="inlineStr">
        <is>
          <t>Argentina</t>
        </is>
      </c>
      <c r="D1232" s="12" t="inlineStr">
        <is>
          <t>Brasil</t>
        </is>
      </c>
      <c r="E1232" s="8" t="n"/>
      <c r="F1232" s="8" t="n"/>
      <c r="G1232" s="8">
        <f>IF(OR(ISBLANK(E1232),ISBLANK(F1232)),"",IF(E1232&gt;F1232,"Local",IF(E1232=F1232,"Empate","Visitante")))</f>
        <v/>
      </c>
      <c r="H1232" s="8">
        <f>IF(VLOOKUP(B1232,PARTIDOS!$A:$I,9,FALSE)="Cerrado",IF(G1232=VLOOKUP(B1232,PARTIDOS!$A:$I,8,FALSE),IF(AND(E1232=VLOOKUP(B1232,PARTIDOS!$A:$I,6,FALSE),F1232=VLOOKUP(B1232,PARTIDOS!$A:$I,7,FALSE)),3,1),0),"")</f>
        <v/>
      </c>
    </row>
    <row r="1233" ht="20.1" customHeight="1">
      <c r="A1233" s="12" t="inlineStr">
        <is>
          <t>Jugador 18</t>
        </is>
      </c>
      <c r="B1233" s="8" t="inlineStr">
        <is>
          <t>M08</t>
        </is>
      </c>
      <c r="C1233" s="12" t="inlineStr">
        <is>
          <t>Colombia</t>
        </is>
      </c>
      <c r="D1233" s="12" t="inlineStr">
        <is>
          <t>Uruguay</t>
        </is>
      </c>
      <c r="E1233" s="8" t="n"/>
      <c r="F1233" s="8" t="n"/>
      <c r="G1233" s="8">
        <f>IF(OR(ISBLANK(E1233),ISBLANK(F1233)),"",IF(E1233&gt;F1233,"Local",IF(E1233=F1233,"Empate","Visitante")))</f>
        <v/>
      </c>
      <c r="H1233" s="8">
        <f>IF(VLOOKUP(B1233,PARTIDOS!$A:$I,9,FALSE)="Cerrado",IF(G1233=VLOOKUP(B1233,PARTIDOS!$A:$I,8,FALSE),IF(AND(E1233=VLOOKUP(B1233,PARTIDOS!$A:$I,6,FALSE),F1233=VLOOKUP(B1233,PARTIDOS!$A:$I,7,FALSE)),3,1),0),"")</f>
        <v/>
      </c>
    </row>
    <row r="1234" ht="20.1" customHeight="1">
      <c r="A1234" s="12" t="inlineStr">
        <is>
          <t>Jugador 18</t>
        </is>
      </c>
      <c r="B1234" s="8" t="inlineStr">
        <is>
          <t>M09</t>
        </is>
      </c>
      <c r="C1234" s="12" t="inlineStr">
        <is>
          <t>Argentina</t>
        </is>
      </c>
      <c r="D1234" s="12" t="inlineStr">
        <is>
          <t>Colombia</t>
        </is>
      </c>
      <c r="E1234" s="8" t="n"/>
      <c r="F1234" s="8" t="n"/>
      <c r="G1234" s="8">
        <f>IF(OR(ISBLANK(E1234),ISBLANK(F1234)),"",IF(E1234&gt;F1234,"Local",IF(E1234=F1234,"Empate","Visitante")))</f>
        <v/>
      </c>
      <c r="H1234" s="8">
        <f>IF(VLOOKUP(B1234,PARTIDOS!$A:$I,9,FALSE)="Cerrado",IF(G1234=VLOOKUP(B1234,PARTIDOS!$A:$I,8,FALSE),IF(AND(E1234=VLOOKUP(B1234,PARTIDOS!$A:$I,6,FALSE),F1234=VLOOKUP(B1234,PARTIDOS!$A:$I,7,FALSE)),3,1),0),"")</f>
        <v/>
      </c>
    </row>
    <row r="1235" ht="20.1" customHeight="1">
      <c r="A1235" s="12" t="inlineStr">
        <is>
          <t>Jugador 18</t>
        </is>
      </c>
      <c r="B1235" s="8" t="inlineStr">
        <is>
          <t>M10</t>
        </is>
      </c>
      <c r="C1235" s="12" t="inlineStr">
        <is>
          <t>Brasil</t>
        </is>
      </c>
      <c r="D1235" s="12" t="inlineStr">
        <is>
          <t>Uruguay</t>
        </is>
      </c>
      <c r="E1235" s="8" t="n"/>
      <c r="F1235" s="8" t="n"/>
      <c r="G1235" s="8">
        <f>IF(OR(ISBLANK(E1235),ISBLANK(F1235)),"",IF(E1235&gt;F1235,"Local",IF(E1235=F1235,"Empate","Visitante")))</f>
        <v/>
      </c>
      <c r="H1235" s="8">
        <f>IF(VLOOKUP(B1235,PARTIDOS!$A:$I,9,FALSE)="Cerrado",IF(G1235=VLOOKUP(B1235,PARTIDOS!$A:$I,8,FALSE),IF(AND(E1235=VLOOKUP(B1235,PARTIDOS!$A:$I,6,FALSE),F1235=VLOOKUP(B1235,PARTIDOS!$A:$I,7,FALSE)),3,1),0),"")</f>
        <v/>
      </c>
    </row>
    <row r="1236" ht="20.1" customHeight="1">
      <c r="A1236" s="12" t="inlineStr">
        <is>
          <t>Jugador 18</t>
        </is>
      </c>
      <c r="B1236" s="8" t="inlineStr">
        <is>
          <t>M11</t>
        </is>
      </c>
      <c r="C1236" s="12" t="inlineStr">
        <is>
          <t>Argentina</t>
        </is>
      </c>
      <c r="D1236" s="12" t="inlineStr">
        <is>
          <t>Uruguay</t>
        </is>
      </c>
      <c r="E1236" s="8" t="n"/>
      <c r="F1236" s="8" t="n"/>
      <c r="G1236" s="8">
        <f>IF(OR(ISBLANK(E1236),ISBLANK(F1236)),"",IF(E1236&gt;F1236,"Local",IF(E1236=F1236,"Empate","Visitante")))</f>
        <v/>
      </c>
      <c r="H1236" s="8">
        <f>IF(VLOOKUP(B1236,PARTIDOS!$A:$I,9,FALSE)="Cerrado",IF(G1236=VLOOKUP(B1236,PARTIDOS!$A:$I,8,FALSE),IF(AND(E1236=VLOOKUP(B1236,PARTIDOS!$A:$I,6,FALSE),F1236=VLOOKUP(B1236,PARTIDOS!$A:$I,7,FALSE)),3,1),0),"")</f>
        <v/>
      </c>
    </row>
    <row r="1237" ht="20.1" customHeight="1">
      <c r="A1237" s="12" t="inlineStr">
        <is>
          <t>Jugador 18</t>
        </is>
      </c>
      <c r="B1237" s="8" t="inlineStr">
        <is>
          <t>M12</t>
        </is>
      </c>
      <c r="C1237" s="12" t="inlineStr">
        <is>
          <t>Brasil</t>
        </is>
      </c>
      <c r="D1237" s="12" t="inlineStr">
        <is>
          <t>Colombia</t>
        </is>
      </c>
      <c r="E1237" s="8" t="n"/>
      <c r="F1237" s="8" t="n"/>
      <c r="G1237" s="8">
        <f>IF(OR(ISBLANK(E1237),ISBLANK(F1237)),"",IF(E1237&gt;F1237,"Local",IF(E1237=F1237,"Empate","Visitante")))</f>
        <v/>
      </c>
      <c r="H1237" s="8">
        <f>IF(VLOOKUP(B1237,PARTIDOS!$A:$I,9,FALSE)="Cerrado",IF(G1237=VLOOKUP(B1237,PARTIDOS!$A:$I,8,FALSE),IF(AND(E1237=VLOOKUP(B1237,PARTIDOS!$A:$I,6,FALSE),F1237=VLOOKUP(B1237,PARTIDOS!$A:$I,7,FALSE)),3,1),0),"")</f>
        <v/>
      </c>
    </row>
    <row r="1238" ht="20.1" customHeight="1">
      <c r="A1238" s="12" t="inlineStr">
        <is>
          <t>Jugador 18</t>
        </is>
      </c>
      <c r="B1238" s="8" t="inlineStr">
        <is>
          <t>M13</t>
        </is>
      </c>
      <c r="C1238" s="12" t="inlineStr">
        <is>
          <t>Ecuador</t>
        </is>
      </c>
      <c r="D1238" s="12" t="inlineStr">
        <is>
          <t>Perú</t>
        </is>
      </c>
      <c r="E1238" s="8" t="n"/>
      <c r="F1238" s="8" t="n"/>
      <c r="G1238" s="8">
        <f>IF(OR(ISBLANK(E1238),ISBLANK(F1238)),"",IF(E1238&gt;F1238,"Local",IF(E1238=F1238,"Empate","Visitante")))</f>
        <v/>
      </c>
      <c r="H1238" s="8">
        <f>IF(VLOOKUP(B1238,PARTIDOS!$A:$I,9,FALSE)="Cerrado",IF(G1238=VLOOKUP(B1238,PARTIDOS!$A:$I,8,FALSE),IF(AND(E1238=VLOOKUP(B1238,PARTIDOS!$A:$I,6,FALSE),F1238=VLOOKUP(B1238,PARTIDOS!$A:$I,7,FALSE)),3,1),0),"")</f>
        <v/>
      </c>
    </row>
    <row r="1239" ht="20.1" customHeight="1">
      <c r="A1239" s="12" t="inlineStr">
        <is>
          <t>Jugador 18</t>
        </is>
      </c>
      <c r="B1239" s="8" t="inlineStr">
        <is>
          <t>M14</t>
        </is>
      </c>
      <c r="C1239" s="12" t="inlineStr">
        <is>
          <t>Chile</t>
        </is>
      </c>
      <c r="D1239" s="12" t="inlineStr">
        <is>
          <t>Paraguay</t>
        </is>
      </c>
      <c r="E1239" s="8" t="n"/>
      <c r="F1239" s="8" t="n"/>
      <c r="G1239" s="8">
        <f>IF(OR(ISBLANK(E1239),ISBLANK(F1239)),"",IF(E1239&gt;F1239,"Local",IF(E1239=F1239,"Empate","Visitante")))</f>
        <v/>
      </c>
      <c r="H1239" s="8">
        <f>IF(VLOOKUP(B1239,PARTIDOS!$A:$I,9,FALSE)="Cerrado",IF(G1239=VLOOKUP(B1239,PARTIDOS!$A:$I,8,FALSE),IF(AND(E1239=VLOOKUP(B1239,PARTIDOS!$A:$I,6,FALSE),F1239=VLOOKUP(B1239,PARTIDOS!$A:$I,7,FALSE)),3,1),0),"")</f>
        <v/>
      </c>
    </row>
    <row r="1240" ht="20.1" customHeight="1">
      <c r="A1240" s="12" t="inlineStr">
        <is>
          <t>Jugador 18</t>
        </is>
      </c>
      <c r="B1240" s="8" t="inlineStr">
        <is>
          <t>M15</t>
        </is>
      </c>
      <c r="C1240" s="12" t="inlineStr">
        <is>
          <t>Ecuador</t>
        </is>
      </c>
      <c r="D1240" s="12" t="inlineStr">
        <is>
          <t>Chile</t>
        </is>
      </c>
      <c r="E1240" s="8" t="n"/>
      <c r="F1240" s="8" t="n"/>
      <c r="G1240" s="8">
        <f>IF(OR(ISBLANK(E1240),ISBLANK(F1240)),"",IF(E1240&gt;F1240,"Local",IF(E1240=F1240,"Empate","Visitante")))</f>
        <v/>
      </c>
      <c r="H1240" s="8">
        <f>IF(VLOOKUP(B1240,PARTIDOS!$A:$I,9,FALSE)="Cerrado",IF(G1240=VLOOKUP(B1240,PARTIDOS!$A:$I,8,FALSE),IF(AND(E1240=VLOOKUP(B1240,PARTIDOS!$A:$I,6,FALSE),F1240=VLOOKUP(B1240,PARTIDOS!$A:$I,7,FALSE)),3,1),0),"")</f>
        <v/>
      </c>
    </row>
    <row r="1241" ht="20.1" customHeight="1">
      <c r="A1241" s="12" t="inlineStr">
        <is>
          <t>Jugador 18</t>
        </is>
      </c>
      <c r="B1241" s="8" t="inlineStr">
        <is>
          <t>M16</t>
        </is>
      </c>
      <c r="C1241" s="12" t="inlineStr">
        <is>
          <t>Perú</t>
        </is>
      </c>
      <c r="D1241" s="12" t="inlineStr">
        <is>
          <t>Paraguay</t>
        </is>
      </c>
      <c r="E1241" s="8" t="n"/>
      <c r="F1241" s="8" t="n"/>
      <c r="G1241" s="8">
        <f>IF(OR(ISBLANK(E1241),ISBLANK(F1241)),"",IF(E1241&gt;F1241,"Local",IF(E1241=F1241,"Empate","Visitante")))</f>
        <v/>
      </c>
      <c r="H1241" s="8">
        <f>IF(VLOOKUP(B1241,PARTIDOS!$A:$I,9,FALSE)="Cerrado",IF(G1241=VLOOKUP(B1241,PARTIDOS!$A:$I,8,FALSE),IF(AND(E1241=VLOOKUP(B1241,PARTIDOS!$A:$I,6,FALSE),F1241=VLOOKUP(B1241,PARTIDOS!$A:$I,7,FALSE)),3,1),0),"")</f>
        <v/>
      </c>
    </row>
    <row r="1242" ht="20.1" customHeight="1">
      <c r="A1242" s="12" t="inlineStr">
        <is>
          <t>Jugador 18</t>
        </is>
      </c>
      <c r="B1242" s="8" t="inlineStr">
        <is>
          <t>M17</t>
        </is>
      </c>
      <c r="C1242" s="12" t="inlineStr">
        <is>
          <t>Ecuador</t>
        </is>
      </c>
      <c r="D1242" s="12" t="inlineStr">
        <is>
          <t>Paraguay</t>
        </is>
      </c>
      <c r="E1242" s="8" t="n"/>
      <c r="F1242" s="8" t="n"/>
      <c r="G1242" s="8">
        <f>IF(OR(ISBLANK(E1242),ISBLANK(F1242)),"",IF(E1242&gt;F1242,"Local",IF(E1242=F1242,"Empate","Visitante")))</f>
        <v/>
      </c>
      <c r="H1242" s="8">
        <f>IF(VLOOKUP(B1242,PARTIDOS!$A:$I,9,FALSE)="Cerrado",IF(G1242=VLOOKUP(B1242,PARTIDOS!$A:$I,8,FALSE),IF(AND(E1242=VLOOKUP(B1242,PARTIDOS!$A:$I,6,FALSE),F1242=VLOOKUP(B1242,PARTIDOS!$A:$I,7,FALSE)),3,1),0),"")</f>
        <v/>
      </c>
    </row>
    <row r="1243" ht="20.1" customHeight="1">
      <c r="A1243" s="12" t="inlineStr">
        <is>
          <t>Jugador 18</t>
        </is>
      </c>
      <c r="B1243" s="8" t="inlineStr">
        <is>
          <t>M18</t>
        </is>
      </c>
      <c r="C1243" s="12" t="inlineStr">
        <is>
          <t>Perú</t>
        </is>
      </c>
      <c r="D1243" s="12" t="inlineStr">
        <is>
          <t>Chile</t>
        </is>
      </c>
      <c r="E1243" s="8" t="n"/>
      <c r="F1243" s="8" t="n"/>
      <c r="G1243" s="8">
        <f>IF(OR(ISBLANK(E1243),ISBLANK(F1243)),"",IF(E1243&gt;F1243,"Local",IF(E1243=F1243,"Empate","Visitante")))</f>
        <v/>
      </c>
      <c r="H1243" s="8">
        <f>IF(VLOOKUP(B1243,PARTIDOS!$A:$I,9,FALSE)="Cerrado",IF(G1243=VLOOKUP(B1243,PARTIDOS!$A:$I,8,FALSE),IF(AND(E1243=VLOOKUP(B1243,PARTIDOS!$A:$I,6,FALSE),F1243=VLOOKUP(B1243,PARTIDOS!$A:$I,7,FALSE)),3,1),0),"")</f>
        <v/>
      </c>
    </row>
    <row r="1244" ht="20.1" customHeight="1">
      <c r="A1244" s="12" t="inlineStr">
        <is>
          <t>Jugador 18</t>
        </is>
      </c>
      <c r="B1244" s="8" t="inlineStr">
        <is>
          <t>M19</t>
        </is>
      </c>
      <c r="C1244" s="12" t="inlineStr">
        <is>
          <t>España</t>
        </is>
      </c>
      <c r="D1244" s="12" t="inlineStr">
        <is>
          <t>Francia</t>
        </is>
      </c>
      <c r="E1244" s="8" t="n"/>
      <c r="F1244" s="8" t="n"/>
      <c r="G1244" s="8">
        <f>IF(OR(ISBLANK(E1244),ISBLANK(F1244)),"",IF(E1244&gt;F1244,"Local",IF(E1244=F1244,"Empate","Visitante")))</f>
        <v/>
      </c>
      <c r="H1244" s="8">
        <f>IF(VLOOKUP(B1244,PARTIDOS!$A:$I,9,FALSE)="Cerrado",IF(G1244=VLOOKUP(B1244,PARTIDOS!$A:$I,8,FALSE),IF(AND(E1244=VLOOKUP(B1244,PARTIDOS!$A:$I,6,FALSE),F1244=VLOOKUP(B1244,PARTIDOS!$A:$I,7,FALSE)),3,1),0),"")</f>
        <v/>
      </c>
    </row>
    <row r="1245" ht="20.1" customHeight="1">
      <c r="A1245" s="12" t="inlineStr">
        <is>
          <t>Jugador 18</t>
        </is>
      </c>
      <c r="B1245" s="8" t="inlineStr">
        <is>
          <t>M20</t>
        </is>
      </c>
      <c r="C1245" s="12" t="inlineStr">
        <is>
          <t>Inglaterra</t>
        </is>
      </c>
      <c r="D1245" s="12" t="inlineStr">
        <is>
          <t>Alemania</t>
        </is>
      </c>
      <c r="E1245" s="8" t="n"/>
      <c r="F1245" s="8" t="n"/>
      <c r="G1245" s="8">
        <f>IF(OR(ISBLANK(E1245),ISBLANK(F1245)),"",IF(E1245&gt;F1245,"Local",IF(E1245=F1245,"Empate","Visitante")))</f>
        <v/>
      </c>
      <c r="H1245" s="8">
        <f>IF(VLOOKUP(B1245,PARTIDOS!$A:$I,9,FALSE)="Cerrado",IF(G1245=VLOOKUP(B1245,PARTIDOS!$A:$I,8,FALSE),IF(AND(E1245=VLOOKUP(B1245,PARTIDOS!$A:$I,6,FALSE),F1245=VLOOKUP(B1245,PARTIDOS!$A:$I,7,FALSE)),3,1),0),"")</f>
        <v/>
      </c>
    </row>
    <row r="1246" ht="20.1" customHeight="1">
      <c r="A1246" s="12" t="inlineStr">
        <is>
          <t>Jugador 18</t>
        </is>
      </c>
      <c r="B1246" s="8" t="inlineStr">
        <is>
          <t>M21</t>
        </is>
      </c>
      <c r="C1246" s="12" t="inlineStr">
        <is>
          <t>España</t>
        </is>
      </c>
      <c r="D1246" s="12" t="inlineStr">
        <is>
          <t>Inglaterra</t>
        </is>
      </c>
      <c r="E1246" s="8" t="n"/>
      <c r="F1246" s="8" t="n"/>
      <c r="G1246" s="8">
        <f>IF(OR(ISBLANK(E1246),ISBLANK(F1246)),"",IF(E1246&gt;F1246,"Local",IF(E1246=F1246,"Empate","Visitante")))</f>
        <v/>
      </c>
      <c r="H1246" s="8">
        <f>IF(VLOOKUP(B1246,PARTIDOS!$A:$I,9,FALSE)="Cerrado",IF(G1246=VLOOKUP(B1246,PARTIDOS!$A:$I,8,FALSE),IF(AND(E1246=VLOOKUP(B1246,PARTIDOS!$A:$I,6,FALSE),F1246=VLOOKUP(B1246,PARTIDOS!$A:$I,7,FALSE)),3,1),0),"")</f>
        <v/>
      </c>
    </row>
    <row r="1247" ht="20.1" customHeight="1">
      <c r="A1247" s="12" t="inlineStr">
        <is>
          <t>Jugador 18</t>
        </is>
      </c>
      <c r="B1247" s="8" t="inlineStr">
        <is>
          <t>M22</t>
        </is>
      </c>
      <c r="C1247" s="12" t="inlineStr">
        <is>
          <t>Francia</t>
        </is>
      </c>
      <c r="D1247" s="12" t="inlineStr">
        <is>
          <t>Alemania</t>
        </is>
      </c>
      <c r="E1247" s="8" t="n"/>
      <c r="F1247" s="8" t="n"/>
      <c r="G1247" s="8">
        <f>IF(OR(ISBLANK(E1247),ISBLANK(F1247)),"",IF(E1247&gt;F1247,"Local",IF(E1247=F1247,"Empate","Visitante")))</f>
        <v/>
      </c>
      <c r="H1247" s="8">
        <f>IF(VLOOKUP(B1247,PARTIDOS!$A:$I,9,FALSE)="Cerrado",IF(G1247=VLOOKUP(B1247,PARTIDOS!$A:$I,8,FALSE),IF(AND(E1247=VLOOKUP(B1247,PARTIDOS!$A:$I,6,FALSE),F1247=VLOOKUP(B1247,PARTIDOS!$A:$I,7,FALSE)),3,1),0),"")</f>
        <v/>
      </c>
    </row>
    <row r="1248" ht="20.1" customHeight="1">
      <c r="A1248" s="12" t="inlineStr">
        <is>
          <t>Jugador 18</t>
        </is>
      </c>
      <c r="B1248" s="8" t="inlineStr">
        <is>
          <t>M23</t>
        </is>
      </c>
      <c r="C1248" s="12" t="inlineStr">
        <is>
          <t>España</t>
        </is>
      </c>
      <c r="D1248" s="12" t="inlineStr">
        <is>
          <t>Alemania</t>
        </is>
      </c>
      <c r="E1248" s="8" t="n"/>
      <c r="F1248" s="8" t="n"/>
      <c r="G1248" s="8">
        <f>IF(OR(ISBLANK(E1248),ISBLANK(F1248)),"",IF(E1248&gt;F1248,"Local",IF(E1248=F1248,"Empate","Visitante")))</f>
        <v/>
      </c>
      <c r="H1248" s="8">
        <f>IF(VLOOKUP(B1248,PARTIDOS!$A:$I,9,FALSE)="Cerrado",IF(G1248=VLOOKUP(B1248,PARTIDOS!$A:$I,8,FALSE),IF(AND(E1248=VLOOKUP(B1248,PARTIDOS!$A:$I,6,FALSE),F1248=VLOOKUP(B1248,PARTIDOS!$A:$I,7,FALSE)),3,1),0),"")</f>
        <v/>
      </c>
    </row>
    <row r="1249" ht="20.1" customHeight="1">
      <c r="A1249" s="12" t="inlineStr">
        <is>
          <t>Jugador 18</t>
        </is>
      </c>
      <c r="B1249" s="8" t="inlineStr">
        <is>
          <t>M24</t>
        </is>
      </c>
      <c r="C1249" s="12" t="inlineStr">
        <is>
          <t>Francia</t>
        </is>
      </c>
      <c r="D1249" s="12" t="inlineStr">
        <is>
          <t>Inglaterra</t>
        </is>
      </c>
      <c r="E1249" s="8" t="n"/>
      <c r="F1249" s="8" t="n"/>
      <c r="G1249" s="8">
        <f>IF(OR(ISBLANK(E1249),ISBLANK(F1249)),"",IF(E1249&gt;F1249,"Local",IF(E1249=F1249,"Empate","Visitante")))</f>
        <v/>
      </c>
      <c r="H1249" s="8">
        <f>IF(VLOOKUP(B1249,PARTIDOS!$A:$I,9,FALSE)="Cerrado",IF(G1249=VLOOKUP(B1249,PARTIDOS!$A:$I,8,FALSE),IF(AND(E1249=VLOOKUP(B1249,PARTIDOS!$A:$I,6,FALSE),F1249=VLOOKUP(B1249,PARTIDOS!$A:$I,7,FALSE)),3,1),0),"")</f>
        <v/>
      </c>
    </row>
    <row r="1250" ht="20.1" customHeight="1">
      <c r="A1250" s="12" t="inlineStr">
        <is>
          <t>Jugador 18</t>
        </is>
      </c>
      <c r="B1250" s="8" t="inlineStr">
        <is>
          <t>M25</t>
        </is>
      </c>
      <c r="C1250" s="12" t="inlineStr">
        <is>
          <t>Portugal</t>
        </is>
      </c>
      <c r="D1250" s="12" t="inlineStr">
        <is>
          <t>Bélgica</t>
        </is>
      </c>
      <c r="E1250" s="8" t="n"/>
      <c r="F1250" s="8" t="n"/>
      <c r="G1250" s="8">
        <f>IF(OR(ISBLANK(E1250),ISBLANK(F1250)),"",IF(E1250&gt;F1250,"Local",IF(E1250=F1250,"Empate","Visitante")))</f>
        <v/>
      </c>
      <c r="H1250" s="8">
        <f>IF(VLOOKUP(B1250,PARTIDOS!$A:$I,9,FALSE)="Cerrado",IF(G1250=VLOOKUP(B1250,PARTIDOS!$A:$I,8,FALSE),IF(AND(E1250=VLOOKUP(B1250,PARTIDOS!$A:$I,6,FALSE),F1250=VLOOKUP(B1250,PARTIDOS!$A:$I,7,FALSE)),3,1),0),"")</f>
        <v/>
      </c>
    </row>
    <row r="1251" ht="20.1" customHeight="1">
      <c r="A1251" s="12" t="inlineStr">
        <is>
          <t>Jugador 18</t>
        </is>
      </c>
      <c r="B1251" s="8" t="inlineStr">
        <is>
          <t>M26</t>
        </is>
      </c>
      <c r="C1251" s="12" t="inlineStr">
        <is>
          <t>Países Bajos</t>
        </is>
      </c>
      <c r="D1251" s="12" t="inlineStr">
        <is>
          <t>Italia</t>
        </is>
      </c>
      <c r="E1251" s="8" t="n"/>
      <c r="F1251" s="8" t="n"/>
      <c r="G1251" s="8">
        <f>IF(OR(ISBLANK(E1251),ISBLANK(F1251)),"",IF(E1251&gt;F1251,"Local",IF(E1251=F1251,"Empate","Visitante")))</f>
        <v/>
      </c>
      <c r="H1251" s="8">
        <f>IF(VLOOKUP(B1251,PARTIDOS!$A:$I,9,FALSE)="Cerrado",IF(G1251=VLOOKUP(B1251,PARTIDOS!$A:$I,8,FALSE),IF(AND(E1251=VLOOKUP(B1251,PARTIDOS!$A:$I,6,FALSE),F1251=VLOOKUP(B1251,PARTIDOS!$A:$I,7,FALSE)),3,1),0),"")</f>
        <v/>
      </c>
    </row>
    <row r="1252" ht="20.1" customHeight="1">
      <c r="A1252" s="12" t="inlineStr">
        <is>
          <t>Jugador 18</t>
        </is>
      </c>
      <c r="B1252" s="8" t="inlineStr">
        <is>
          <t>M27</t>
        </is>
      </c>
      <c r="C1252" s="12" t="inlineStr">
        <is>
          <t>Portugal</t>
        </is>
      </c>
      <c r="D1252" s="12" t="inlineStr">
        <is>
          <t>Países Bajos</t>
        </is>
      </c>
      <c r="E1252" s="8" t="n"/>
      <c r="F1252" s="8" t="n"/>
      <c r="G1252" s="8">
        <f>IF(OR(ISBLANK(E1252),ISBLANK(F1252)),"",IF(E1252&gt;F1252,"Local",IF(E1252=F1252,"Empate","Visitante")))</f>
        <v/>
      </c>
      <c r="H1252" s="8">
        <f>IF(VLOOKUP(B1252,PARTIDOS!$A:$I,9,FALSE)="Cerrado",IF(G1252=VLOOKUP(B1252,PARTIDOS!$A:$I,8,FALSE),IF(AND(E1252=VLOOKUP(B1252,PARTIDOS!$A:$I,6,FALSE),F1252=VLOOKUP(B1252,PARTIDOS!$A:$I,7,FALSE)),3,1),0),"")</f>
        <v/>
      </c>
    </row>
    <row r="1253" ht="20.1" customHeight="1">
      <c r="A1253" s="12" t="inlineStr">
        <is>
          <t>Jugador 18</t>
        </is>
      </c>
      <c r="B1253" s="8" t="inlineStr">
        <is>
          <t>M28</t>
        </is>
      </c>
      <c r="C1253" s="12" t="inlineStr">
        <is>
          <t>Bélgica</t>
        </is>
      </c>
      <c r="D1253" s="12" t="inlineStr">
        <is>
          <t>Italia</t>
        </is>
      </c>
      <c r="E1253" s="8" t="n"/>
      <c r="F1253" s="8" t="n"/>
      <c r="G1253" s="8">
        <f>IF(OR(ISBLANK(E1253),ISBLANK(F1253)),"",IF(E1253&gt;F1253,"Local",IF(E1253=F1253,"Empate","Visitante")))</f>
        <v/>
      </c>
      <c r="H1253" s="8">
        <f>IF(VLOOKUP(B1253,PARTIDOS!$A:$I,9,FALSE)="Cerrado",IF(G1253=VLOOKUP(B1253,PARTIDOS!$A:$I,8,FALSE),IF(AND(E1253=VLOOKUP(B1253,PARTIDOS!$A:$I,6,FALSE),F1253=VLOOKUP(B1253,PARTIDOS!$A:$I,7,FALSE)),3,1),0),"")</f>
        <v/>
      </c>
    </row>
    <row r="1254" ht="20.1" customHeight="1">
      <c r="A1254" s="12" t="inlineStr">
        <is>
          <t>Jugador 18</t>
        </is>
      </c>
      <c r="B1254" s="8" t="inlineStr">
        <is>
          <t>M29</t>
        </is>
      </c>
      <c r="C1254" s="12" t="inlineStr">
        <is>
          <t>Portugal</t>
        </is>
      </c>
      <c r="D1254" s="12" t="inlineStr">
        <is>
          <t>Italia</t>
        </is>
      </c>
      <c r="E1254" s="8" t="n"/>
      <c r="F1254" s="8" t="n"/>
      <c r="G1254" s="8">
        <f>IF(OR(ISBLANK(E1254),ISBLANK(F1254)),"",IF(E1254&gt;F1254,"Local",IF(E1254=F1254,"Empate","Visitante")))</f>
        <v/>
      </c>
      <c r="H1254" s="8">
        <f>IF(VLOOKUP(B1254,PARTIDOS!$A:$I,9,FALSE)="Cerrado",IF(G1254=VLOOKUP(B1254,PARTIDOS!$A:$I,8,FALSE),IF(AND(E1254=VLOOKUP(B1254,PARTIDOS!$A:$I,6,FALSE),F1254=VLOOKUP(B1254,PARTIDOS!$A:$I,7,FALSE)),3,1),0),"")</f>
        <v/>
      </c>
    </row>
    <row r="1255" ht="20.1" customHeight="1">
      <c r="A1255" s="12" t="inlineStr">
        <is>
          <t>Jugador 18</t>
        </is>
      </c>
      <c r="B1255" s="8" t="inlineStr">
        <is>
          <t>M30</t>
        </is>
      </c>
      <c r="C1255" s="12" t="inlineStr">
        <is>
          <t>Bélgica</t>
        </is>
      </c>
      <c r="D1255" s="12" t="inlineStr">
        <is>
          <t>Países Bajos</t>
        </is>
      </c>
      <c r="E1255" s="8" t="n"/>
      <c r="F1255" s="8" t="n"/>
      <c r="G1255" s="8">
        <f>IF(OR(ISBLANK(E1255),ISBLANK(F1255)),"",IF(E1255&gt;F1255,"Local",IF(E1255=F1255,"Empate","Visitante")))</f>
        <v/>
      </c>
      <c r="H1255" s="8">
        <f>IF(VLOOKUP(B1255,PARTIDOS!$A:$I,9,FALSE)="Cerrado",IF(G1255=VLOOKUP(B1255,PARTIDOS!$A:$I,8,FALSE),IF(AND(E1255=VLOOKUP(B1255,PARTIDOS!$A:$I,6,FALSE),F1255=VLOOKUP(B1255,PARTIDOS!$A:$I,7,FALSE)),3,1),0),"")</f>
        <v/>
      </c>
    </row>
    <row r="1256" ht="20.1" customHeight="1">
      <c r="A1256" s="12" t="inlineStr">
        <is>
          <t>Jugador 18</t>
        </is>
      </c>
      <c r="B1256" s="8" t="inlineStr">
        <is>
          <t>M31</t>
        </is>
      </c>
      <c r="C1256" s="12" t="inlineStr">
        <is>
          <t>Croacia</t>
        </is>
      </c>
      <c r="D1256" s="12" t="inlineStr">
        <is>
          <t>Suiza</t>
        </is>
      </c>
      <c r="E1256" s="8" t="n"/>
      <c r="F1256" s="8" t="n"/>
      <c r="G1256" s="8">
        <f>IF(OR(ISBLANK(E1256),ISBLANK(F1256)),"",IF(E1256&gt;F1256,"Local",IF(E1256=F1256,"Empate","Visitante")))</f>
        <v/>
      </c>
      <c r="H1256" s="8">
        <f>IF(VLOOKUP(B1256,PARTIDOS!$A:$I,9,FALSE)="Cerrado",IF(G1256=VLOOKUP(B1256,PARTIDOS!$A:$I,8,FALSE),IF(AND(E1256=VLOOKUP(B1256,PARTIDOS!$A:$I,6,FALSE),F1256=VLOOKUP(B1256,PARTIDOS!$A:$I,7,FALSE)),3,1),0),"")</f>
        <v/>
      </c>
    </row>
    <row r="1257" ht="20.1" customHeight="1">
      <c r="A1257" s="12" t="inlineStr">
        <is>
          <t>Jugador 18</t>
        </is>
      </c>
      <c r="B1257" s="8" t="inlineStr">
        <is>
          <t>M32</t>
        </is>
      </c>
      <c r="C1257" s="12" t="inlineStr">
        <is>
          <t>Dinamarca</t>
        </is>
      </c>
      <c r="D1257" s="12" t="inlineStr">
        <is>
          <t>Serbia</t>
        </is>
      </c>
      <c r="E1257" s="8" t="n"/>
      <c r="F1257" s="8" t="n"/>
      <c r="G1257" s="8">
        <f>IF(OR(ISBLANK(E1257),ISBLANK(F1257)),"",IF(E1257&gt;F1257,"Local",IF(E1257=F1257,"Empate","Visitante")))</f>
        <v/>
      </c>
      <c r="H1257" s="8">
        <f>IF(VLOOKUP(B1257,PARTIDOS!$A:$I,9,FALSE)="Cerrado",IF(G1257=VLOOKUP(B1257,PARTIDOS!$A:$I,8,FALSE),IF(AND(E1257=VLOOKUP(B1257,PARTIDOS!$A:$I,6,FALSE),F1257=VLOOKUP(B1257,PARTIDOS!$A:$I,7,FALSE)),3,1),0),"")</f>
        <v/>
      </c>
    </row>
    <row r="1258" ht="20.1" customHeight="1">
      <c r="A1258" s="12" t="inlineStr">
        <is>
          <t>Jugador 18</t>
        </is>
      </c>
      <c r="B1258" s="8" t="inlineStr">
        <is>
          <t>M33</t>
        </is>
      </c>
      <c r="C1258" s="12" t="inlineStr">
        <is>
          <t>Croacia</t>
        </is>
      </c>
      <c r="D1258" s="12" t="inlineStr">
        <is>
          <t>Dinamarca</t>
        </is>
      </c>
      <c r="E1258" s="8" t="n"/>
      <c r="F1258" s="8" t="n"/>
      <c r="G1258" s="8">
        <f>IF(OR(ISBLANK(E1258),ISBLANK(F1258)),"",IF(E1258&gt;F1258,"Local",IF(E1258=F1258,"Empate","Visitante")))</f>
        <v/>
      </c>
      <c r="H1258" s="8">
        <f>IF(VLOOKUP(B1258,PARTIDOS!$A:$I,9,FALSE)="Cerrado",IF(G1258=VLOOKUP(B1258,PARTIDOS!$A:$I,8,FALSE),IF(AND(E1258=VLOOKUP(B1258,PARTIDOS!$A:$I,6,FALSE),F1258=VLOOKUP(B1258,PARTIDOS!$A:$I,7,FALSE)),3,1),0),"")</f>
        <v/>
      </c>
    </row>
    <row r="1259" ht="20.1" customHeight="1">
      <c r="A1259" s="12" t="inlineStr">
        <is>
          <t>Jugador 18</t>
        </is>
      </c>
      <c r="B1259" s="8" t="inlineStr">
        <is>
          <t>M34</t>
        </is>
      </c>
      <c r="C1259" s="12" t="inlineStr">
        <is>
          <t>Suiza</t>
        </is>
      </c>
      <c r="D1259" s="12" t="inlineStr">
        <is>
          <t>Serbia</t>
        </is>
      </c>
      <c r="E1259" s="8" t="n"/>
      <c r="F1259" s="8" t="n"/>
      <c r="G1259" s="8">
        <f>IF(OR(ISBLANK(E1259),ISBLANK(F1259)),"",IF(E1259&gt;F1259,"Local",IF(E1259=F1259,"Empate","Visitante")))</f>
        <v/>
      </c>
      <c r="H1259" s="8">
        <f>IF(VLOOKUP(B1259,PARTIDOS!$A:$I,9,FALSE)="Cerrado",IF(G1259=VLOOKUP(B1259,PARTIDOS!$A:$I,8,FALSE),IF(AND(E1259=VLOOKUP(B1259,PARTIDOS!$A:$I,6,FALSE),F1259=VLOOKUP(B1259,PARTIDOS!$A:$I,7,FALSE)),3,1),0),"")</f>
        <v/>
      </c>
    </row>
    <row r="1260" ht="20.1" customHeight="1">
      <c r="A1260" s="12" t="inlineStr">
        <is>
          <t>Jugador 18</t>
        </is>
      </c>
      <c r="B1260" s="8" t="inlineStr">
        <is>
          <t>M35</t>
        </is>
      </c>
      <c r="C1260" s="12" t="inlineStr">
        <is>
          <t>Croacia</t>
        </is>
      </c>
      <c r="D1260" s="12" t="inlineStr">
        <is>
          <t>Serbia</t>
        </is>
      </c>
      <c r="E1260" s="8" t="n"/>
      <c r="F1260" s="8" t="n"/>
      <c r="G1260" s="8">
        <f>IF(OR(ISBLANK(E1260),ISBLANK(F1260)),"",IF(E1260&gt;F1260,"Local",IF(E1260=F1260,"Empate","Visitante")))</f>
        <v/>
      </c>
      <c r="H1260" s="8">
        <f>IF(VLOOKUP(B1260,PARTIDOS!$A:$I,9,FALSE)="Cerrado",IF(G1260=VLOOKUP(B1260,PARTIDOS!$A:$I,8,FALSE),IF(AND(E1260=VLOOKUP(B1260,PARTIDOS!$A:$I,6,FALSE),F1260=VLOOKUP(B1260,PARTIDOS!$A:$I,7,FALSE)),3,1),0),"")</f>
        <v/>
      </c>
    </row>
    <row r="1261" ht="20.1" customHeight="1">
      <c r="A1261" s="12" t="inlineStr">
        <is>
          <t>Jugador 18</t>
        </is>
      </c>
      <c r="B1261" s="8" t="inlineStr">
        <is>
          <t>M36</t>
        </is>
      </c>
      <c r="C1261" s="12" t="inlineStr">
        <is>
          <t>Suiza</t>
        </is>
      </c>
      <c r="D1261" s="12" t="inlineStr">
        <is>
          <t>Dinamarca</t>
        </is>
      </c>
      <c r="E1261" s="8" t="n"/>
      <c r="F1261" s="8" t="n"/>
      <c r="G1261" s="8">
        <f>IF(OR(ISBLANK(E1261),ISBLANK(F1261)),"",IF(E1261&gt;F1261,"Local",IF(E1261=F1261,"Empate","Visitante")))</f>
        <v/>
      </c>
      <c r="H1261" s="8">
        <f>IF(VLOOKUP(B1261,PARTIDOS!$A:$I,9,FALSE)="Cerrado",IF(G1261=VLOOKUP(B1261,PARTIDOS!$A:$I,8,FALSE),IF(AND(E1261=VLOOKUP(B1261,PARTIDOS!$A:$I,6,FALSE),F1261=VLOOKUP(B1261,PARTIDOS!$A:$I,7,FALSE)),3,1),0),"")</f>
        <v/>
      </c>
    </row>
    <row r="1262" ht="20.1" customHeight="1">
      <c r="A1262" s="12" t="inlineStr">
        <is>
          <t>Jugador 18</t>
        </is>
      </c>
      <c r="B1262" s="8" t="inlineStr">
        <is>
          <t>M37</t>
        </is>
      </c>
      <c r="C1262" s="12" t="inlineStr">
        <is>
          <t>Polonia</t>
        </is>
      </c>
      <c r="D1262" s="12" t="inlineStr">
        <is>
          <t>Ucrania</t>
        </is>
      </c>
      <c r="E1262" s="8" t="n"/>
      <c r="F1262" s="8" t="n"/>
      <c r="G1262" s="8">
        <f>IF(OR(ISBLANK(E1262),ISBLANK(F1262)),"",IF(E1262&gt;F1262,"Local",IF(E1262=F1262,"Empate","Visitante")))</f>
        <v/>
      </c>
      <c r="H1262" s="8">
        <f>IF(VLOOKUP(B1262,PARTIDOS!$A:$I,9,FALSE)="Cerrado",IF(G1262=VLOOKUP(B1262,PARTIDOS!$A:$I,8,FALSE),IF(AND(E1262=VLOOKUP(B1262,PARTIDOS!$A:$I,6,FALSE),F1262=VLOOKUP(B1262,PARTIDOS!$A:$I,7,FALSE)),3,1),0),"")</f>
        <v/>
      </c>
    </row>
    <row r="1263" ht="20.1" customHeight="1">
      <c r="A1263" s="12" t="inlineStr">
        <is>
          <t>Jugador 18</t>
        </is>
      </c>
      <c r="B1263" s="8" t="inlineStr">
        <is>
          <t>M38</t>
        </is>
      </c>
      <c r="C1263" s="12" t="inlineStr">
        <is>
          <t>Suecia</t>
        </is>
      </c>
      <c r="D1263" s="12" t="inlineStr">
        <is>
          <t>Gales</t>
        </is>
      </c>
      <c r="E1263" s="8" t="n"/>
      <c r="F1263" s="8" t="n"/>
      <c r="G1263" s="8">
        <f>IF(OR(ISBLANK(E1263),ISBLANK(F1263)),"",IF(E1263&gt;F1263,"Local",IF(E1263=F1263,"Empate","Visitante")))</f>
        <v/>
      </c>
      <c r="H1263" s="8">
        <f>IF(VLOOKUP(B1263,PARTIDOS!$A:$I,9,FALSE)="Cerrado",IF(G1263=VLOOKUP(B1263,PARTIDOS!$A:$I,8,FALSE),IF(AND(E1263=VLOOKUP(B1263,PARTIDOS!$A:$I,6,FALSE),F1263=VLOOKUP(B1263,PARTIDOS!$A:$I,7,FALSE)),3,1),0),"")</f>
        <v/>
      </c>
    </row>
    <row r="1264" ht="20.1" customHeight="1">
      <c r="A1264" s="12" t="inlineStr">
        <is>
          <t>Jugador 18</t>
        </is>
      </c>
      <c r="B1264" s="8" t="inlineStr">
        <is>
          <t>M39</t>
        </is>
      </c>
      <c r="C1264" s="12" t="inlineStr">
        <is>
          <t>Polonia</t>
        </is>
      </c>
      <c r="D1264" s="12" t="inlineStr">
        <is>
          <t>Suecia</t>
        </is>
      </c>
      <c r="E1264" s="8" t="n"/>
      <c r="F1264" s="8" t="n"/>
      <c r="G1264" s="8">
        <f>IF(OR(ISBLANK(E1264),ISBLANK(F1264)),"",IF(E1264&gt;F1264,"Local",IF(E1264=F1264,"Empate","Visitante")))</f>
        <v/>
      </c>
      <c r="H1264" s="8">
        <f>IF(VLOOKUP(B1264,PARTIDOS!$A:$I,9,FALSE)="Cerrado",IF(G1264=VLOOKUP(B1264,PARTIDOS!$A:$I,8,FALSE),IF(AND(E1264=VLOOKUP(B1264,PARTIDOS!$A:$I,6,FALSE),F1264=VLOOKUP(B1264,PARTIDOS!$A:$I,7,FALSE)),3,1),0),"")</f>
        <v/>
      </c>
    </row>
    <row r="1265" ht="20.1" customHeight="1">
      <c r="A1265" s="12" t="inlineStr">
        <is>
          <t>Jugador 18</t>
        </is>
      </c>
      <c r="B1265" s="8" t="inlineStr">
        <is>
          <t>M40</t>
        </is>
      </c>
      <c r="C1265" s="12" t="inlineStr">
        <is>
          <t>Ucrania</t>
        </is>
      </c>
      <c r="D1265" s="12" t="inlineStr">
        <is>
          <t>Gales</t>
        </is>
      </c>
      <c r="E1265" s="8" t="n"/>
      <c r="F1265" s="8" t="n"/>
      <c r="G1265" s="8">
        <f>IF(OR(ISBLANK(E1265),ISBLANK(F1265)),"",IF(E1265&gt;F1265,"Local",IF(E1265=F1265,"Empate","Visitante")))</f>
        <v/>
      </c>
      <c r="H1265" s="8">
        <f>IF(VLOOKUP(B1265,PARTIDOS!$A:$I,9,FALSE)="Cerrado",IF(G1265=VLOOKUP(B1265,PARTIDOS!$A:$I,8,FALSE),IF(AND(E1265=VLOOKUP(B1265,PARTIDOS!$A:$I,6,FALSE),F1265=VLOOKUP(B1265,PARTIDOS!$A:$I,7,FALSE)),3,1),0),"")</f>
        <v/>
      </c>
    </row>
    <row r="1266" ht="20.1" customHeight="1">
      <c r="A1266" s="12" t="inlineStr">
        <is>
          <t>Jugador 18</t>
        </is>
      </c>
      <c r="B1266" s="8" t="inlineStr">
        <is>
          <t>M41</t>
        </is>
      </c>
      <c r="C1266" s="12" t="inlineStr">
        <is>
          <t>Polonia</t>
        </is>
      </c>
      <c r="D1266" s="12" t="inlineStr">
        <is>
          <t>Gales</t>
        </is>
      </c>
      <c r="E1266" s="8" t="n"/>
      <c r="F1266" s="8" t="n"/>
      <c r="G1266" s="8">
        <f>IF(OR(ISBLANK(E1266),ISBLANK(F1266)),"",IF(E1266&gt;F1266,"Local",IF(E1266=F1266,"Empate","Visitante")))</f>
        <v/>
      </c>
      <c r="H1266" s="8">
        <f>IF(VLOOKUP(B1266,PARTIDOS!$A:$I,9,FALSE)="Cerrado",IF(G1266=VLOOKUP(B1266,PARTIDOS!$A:$I,8,FALSE),IF(AND(E1266=VLOOKUP(B1266,PARTIDOS!$A:$I,6,FALSE),F1266=VLOOKUP(B1266,PARTIDOS!$A:$I,7,FALSE)),3,1),0),"")</f>
        <v/>
      </c>
    </row>
    <row r="1267" ht="20.1" customHeight="1">
      <c r="A1267" s="12" t="inlineStr">
        <is>
          <t>Jugador 18</t>
        </is>
      </c>
      <c r="B1267" s="8" t="inlineStr">
        <is>
          <t>M42</t>
        </is>
      </c>
      <c r="C1267" s="12" t="inlineStr">
        <is>
          <t>Ucrania</t>
        </is>
      </c>
      <c r="D1267" s="12" t="inlineStr">
        <is>
          <t>Suecia</t>
        </is>
      </c>
      <c r="E1267" s="8" t="n"/>
      <c r="F1267" s="8" t="n"/>
      <c r="G1267" s="8">
        <f>IF(OR(ISBLANK(E1267),ISBLANK(F1267)),"",IF(E1267&gt;F1267,"Local",IF(E1267=F1267,"Empate","Visitante")))</f>
        <v/>
      </c>
      <c r="H1267" s="8">
        <f>IF(VLOOKUP(B1267,PARTIDOS!$A:$I,9,FALSE)="Cerrado",IF(G1267=VLOOKUP(B1267,PARTIDOS!$A:$I,8,FALSE),IF(AND(E1267=VLOOKUP(B1267,PARTIDOS!$A:$I,6,FALSE),F1267=VLOOKUP(B1267,PARTIDOS!$A:$I,7,FALSE)),3,1),0),"")</f>
        <v/>
      </c>
    </row>
    <row r="1268" ht="20.1" customHeight="1">
      <c r="A1268" s="12" t="inlineStr">
        <is>
          <t>Jugador 18</t>
        </is>
      </c>
      <c r="B1268" s="8" t="inlineStr">
        <is>
          <t>M43</t>
        </is>
      </c>
      <c r="C1268" s="12" t="inlineStr">
        <is>
          <t>Austria</t>
        </is>
      </c>
      <c r="D1268" s="12" t="inlineStr">
        <is>
          <t>Hungría</t>
        </is>
      </c>
      <c r="E1268" s="8" t="n"/>
      <c r="F1268" s="8" t="n"/>
      <c r="G1268" s="8">
        <f>IF(OR(ISBLANK(E1268),ISBLANK(F1268)),"",IF(E1268&gt;F1268,"Local",IF(E1268=F1268,"Empate","Visitante")))</f>
        <v/>
      </c>
      <c r="H1268" s="8">
        <f>IF(VLOOKUP(B1268,PARTIDOS!$A:$I,9,FALSE)="Cerrado",IF(G1268=VLOOKUP(B1268,PARTIDOS!$A:$I,8,FALSE),IF(AND(E1268=VLOOKUP(B1268,PARTIDOS!$A:$I,6,FALSE),F1268=VLOOKUP(B1268,PARTIDOS!$A:$I,7,FALSE)),3,1),0),"")</f>
        <v/>
      </c>
    </row>
    <row r="1269" ht="20.1" customHeight="1">
      <c r="A1269" s="12" t="inlineStr">
        <is>
          <t>Jugador 18</t>
        </is>
      </c>
      <c r="B1269" s="8" t="inlineStr">
        <is>
          <t>M44</t>
        </is>
      </c>
      <c r="C1269" s="12" t="inlineStr">
        <is>
          <t>Turquía</t>
        </is>
      </c>
      <c r="D1269" s="12" t="inlineStr">
        <is>
          <t>Escocia</t>
        </is>
      </c>
      <c r="E1269" s="8" t="n"/>
      <c r="F1269" s="8" t="n"/>
      <c r="G1269" s="8">
        <f>IF(OR(ISBLANK(E1269),ISBLANK(F1269)),"",IF(E1269&gt;F1269,"Local",IF(E1269=F1269,"Empate","Visitante")))</f>
        <v/>
      </c>
      <c r="H1269" s="8">
        <f>IF(VLOOKUP(B1269,PARTIDOS!$A:$I,9,FALSE)="Cerrado",IF(G1269=VLOOKUP(B1269,PARTIDOS!$A:$I,8,FALSE),IF(AND(E1269=VLOOKUP(B1269,PARTIDOS!$A:$I,6,FALSE),F1269=VLOOKUP(B1269,PARTIDOS!$A:$I,7,FALSE)),3,1),0),"")</f>
        <v/>
      </c>
    </row>
    <row r="1270" ht="20.1" customHeight="1">
      <c r="A1270" s="12" t="inlineStr">
        <is>
          <t>Jugador 18</t>
        </is>
      </c>
      <c r="B1270" s="8" t="inlineStr">
        <is>
          <t>M45</t>
        </is>
      </c>
      <c r="C1270" s="12" t="inlineStr">
        <is>
          <t>Austria</t>
        </is>
      </c>
      <c r="D1270" s="12" t="inlineStr">
        <is>
          <t>Turquía</t>
        </is>
      </c>
      <c r="E1270" s="8" t="n"/>
      <c r="F1270" s="8" t="n"/>
      <c r="G1270" s="8">
        <f>IF(OR(ISBLANK(E1270),ISBLANK(F1270)),"",IF(E1270&gt;F1270,"Local",IF(E1270=F1270,"Empate","Visitante")))</f>
        <v/>
      </c>
      <c r="H1270" s="8">
        <f>IF(VLOOKUP(B1270,PARTIDOS!$A:$I,9,FALSE)="Cerrado",IF(G1270=VLOOKUP(B1270,PARTIDOS!$A:$I,8,FALSE),IF(AND(E1270=VLOOKUP(B1270,PARTIDOS!$A:$I,6,FALSE),F1270=VLOOKUP(B1270,PARTIDOS!$A:$I,7,FALSE)),3,1),0),"")</f>
        <v/>
      </c>
    </row>
    <row r="1271" ht="20.1" customHeight="1">
      <c r="A1271" s="12" t="inlineStr">
        <is>
          <t>Jugador 18</t>
        </is>
      </c>
      <c r="B1271" s="8" t="inlineStr">
        <is>
          <t>M46</t>
        </is>
      </c>
      <c r="C1271" s="12" t="inlineStr">
        <is>
          <t>Hungría</t>
        </is>
      </c>
      <c r="D1271" s="12" t="inlineStr">
        <is>
          <t>Escocia</t>
        </is>
      </c>
      <c r="E1271" s="8" t="n"/>
      <c r="F1271" s="8" t="n"/>
      <c r="G1271" s="8">
        <f>IF(OR(ISBLANK(E1271),ISBLANK(F1271)),"",IF(E1271&gt;F1271,"Local",IF(E1271=F1271,"Empate","Visitante")))</f>
        <v/>
      </c>
      <c r="H1271" s="8">
        <f>IF(VLOOKUP(B1271,PARTIDOS!$A:$I,9,FALSE)="Cerrado",IF(G1271=VLOOKUP(B1271,PARTIDOS!$A:$I,8,FALSE),IF(AND(E1271=VLOOKUP(B1271,PARTIDOS!$A:$I,6,FALSE),F1271=VLOOKUP(B1271,PARTIDOS!$A:$I,7,FALSE)),3,1),0),"")</f>
        <v/>
      </c>
    </row>
    <row r="1272" ht="20.1" customHeight="1">
      <c r="A1272" s="12" t="inlineStr">
        <is>
          <t>Jugador 18</t>
        </is>
      </c>
      <c r="B1272" s="8" t="inlineStr">
        <is>
          <t>M47</t>
        </is>
      </c>
      <c r="C1272" s="12" t="inlineStr">
        <is>
          <t>Austria</t>
        </is>
      </c>
      <c r="D1272" s="12" t="inlineStr">
        <is>
          <t>Escocia</t>
        </is>
      </c>
      <c r="E1272" s="8" t="n"/>
      <c r="F1272" s="8" t="n"/>
      <c r="G1272" s="8">
        <f>IF(OR(ISBLANK(E1272),ISBLANK(F1272)),"",IF(E1272&gt;F1272,"Local",IF(E1272=F1272,"Empate","Visitante")))</f>
        <v/>
      </c>
      <c r="H1272" s="8">
        <f>IF(VLOOKUP(B1272,PARTIDOS!$A:$I,9,FALSE)="Cerrado",IF(G1272=VLOOKUP(B1272,PARTIDOS!$A:$I,8,FALSE),IF(AND(E1272=VLOOKUP(B1272,PARTIDOS!$A:$I,6,FALSE),F1272=VLOOKUP(B1272,PARTIDOS!$A:$I,7,FALSE)),3,1),0),"")</f>
        <v/>
      </c>
    </row>
    <row r="1273" ht="20.1" customHeight="1">
      <c r="A1273" s="12" t="inlineStr">
        <is>
          <t>Jugador 18</t>
        </is>
      </c>
      <c r="B1273" s="8" t="inlineStr">
        <is>
          <t>M48</t>
        </is>
      </c>
      <c r="C1273" s="12" t="inlineStr">
        <is>
          <t>Hungría</t>
        </is>
      </c>
      <c r="D1273" s="12" t="inlineStr">
        <is>
          <t>Turquía</t>
        </is>
      </c>
      <c r="E1273" s="8" t="n"/>
      <c r="F1273" s="8" t="n"/>
      <c r="G1273" s="8">
        <f>IF(OR(ISBLANK(E1273),ISBLANK(F1273)),"",IF(E1273&gt;F1273,"Local",IF(E1273=F1273,"Empate","Visitante")))</f>
        <v/>
      </c>
      <c r="H1273" s="8">
        <f>IF(VLOOKUP(B1273,PARTIDOS!$A:$I,9,FALSE)="Cerrado",IF(G1273=VLOOKUP(B1273,PARTIDOS!$A:$I,8,FALSE),IF(AND(E1273=VLOOKUP(B1273,PARTIDOS!$A:$I,6,FALSE),F1273=VLOOKUP(B1273,PARTIDOS!$A:$I,7,FALSE)),3,1),0),"")</f>
        <v/>
      </c>
    </row>
    <row r="1274" ht="20.1" customHeight="1">
      <c r="A1274" s="12" t="inlineStr">
        <is>
          <t>Jugador 18</t>
        </is>
      </c>
      <c r="B1274" s="8" t="inlineStr">
        <is>
          <t>M49</t>
        </is>
      </c>
      <c r="C1274" s="12" t="inlineStr">
        <is>
          <t>República Checa</t>
        </is>
      </c>
      <c r="D1274" s="12" t="inlineStr">
        <is>
          <t>Noruega</t>
        </is>
      </c>
      <c r="E1274" s="8" t="n"/>
      <c r="F1274" s="8" t="n"/>
      <c r="G1274" s="8">
        <f>IF(OR(ISBLANK(E1274),ISBLANK(F1274)),"",IF(E1274&gt;F1274,"Local",IF(E1274=F1274,"Empate","Visitante")))</f>
        <v/>
      </c>
      <c r="H1274" s="8">
        <f>IF(VLOOKUP(B1274,PARTIDOS!$A:$I,9,FALSE)="Cerrado",IF(G1274=VLOOKUP(B1274,PARTIDOS!$A:$I,8,FALSE),IF(AND(E1274=VLOOKUP(B1274,PARTIDOS!$A:$I,6,FALSE),F1274=VLOOKUP(B1274,PARTIDOS!$A:$I,7,FALSE)),3,1),0),"")</f>
        <v/>
      </c>
    </row>
    <row r="1275" ht="20.1" customHeight="1">
      <c r="A1275" s="12" t="inlineStr">
        <is>
          <t>Jugador 18</t>
        </is>
      </c>
      <c r="B1275" s="8" t="inlineStr">
        <is>
          <t>M50</t>
        </is>
      </c>
      <c r="C1275" s="12" t="inlineStr">
        <is>
          <t>Japón</t>
        </is>
      </c>
      <c r="D1275" s="12" t="inlineStr">
        <is>
          <t>Irán</t>
        </is>
      </c>
      <c r="E1275" s="8" t="n"/>
      <c r="F1275" s="8" t="n"/>
      <c r="G1275" s="8">
        <f>IF(OR(ISBLANK(E1275),ISBLANK(F1275)),"",IF(E1275&gt;F1275,"Local",IF(E1275=F1275,"Empate","Visitante")))</f>
        <v/>
      </c>
      <c r="H1275" s="8">
        <f>IF(VLOOKUP(B1275,PARTIDOS!$A:$I,9,FALSE)="Cerrado",IF(G1275=VLOOKUP(B1275,PARTIDOS!$A:$I,8,FALSE),IF(AND(E1275=VLOOKUP(B1275,PARTIDOS!$A:$I,6,FALSE),F1275=VLOOKUP(B1275,PARTIDOS!$A:$I,7,FALSE)),3,1),0),"")</f>
        <v/>
      </c>
    </row>
    <row r="1276" ht="20.1" customHeight="1">
      <c r="A1276" s="12" t="inlineStr">
        <is>
          <t>Jugador 18</t>
        </is>
      </c>
      <c r="B1276" s="8" t="inlineStr">
        <is>
          <t>M51</t>
        </is>
      </c>
      <c r="C1276" s="12" t="inlineStr">
        <is>
          <t>República Checa</t>
        </is>
      </c>
      <c r="D1276" s="12" t="inlineStr">
        <is>
          <t>Japón</t>
        </is>
      </c>
      <c r="E1276" s="8" t="n"/>
      <c r="F1276" s="8" t="n"/>
      <c r="G1276" s="8">
        <f>IF(OR(ISBLANK(E1276),ISBLANK(F1276)),"",IF(E1276&gt;F1276,"Local",IF(E1276=F1276,"Empate","Visitante")))</f>
        <v/>
      </c>
      <c r="H1276" s="8">
        <f>IF(VLOOKUP(B1276,PARTIDOS!$A:$I,9,FALSE)="Cerrado",IF(G1276=VLOOKUP(B1276,PARTIDOS!$A:$I,8,FALSE),IF(AND(E1276=VLOOKUP(B1276,PARTIDOS!$A:$I,6,FALSE),F1276=VLOOKUP(B1276,PARTIDOS!$A:$I,7,FALSE)),3,1),0),"")</f>
        <v/>
      </c>
    </row>
    <row r="1277" ht="20.1" customHeight="1">
      <c r="A1277" s="12" t="inlineStr">
        <is>
          <t>Jugador 18</t>
        </is>
      </c>
      <c r="B1277" s="8" t="inlineStr">
        <is>
          <t>M52</t>
        </is>
      </c>
      <c r="C1277" s="12" t="inlineStr">
        <is>
          <t>Noruega</t>
        </is>
      </c>
      <c r="D1277" s="12" t="inlineStr">
        <is>
          <t>Irán</t>
        </is>
      </c>
      <c r="E1277" s="8" t="n"/>
      <c r="F1277" s="8" t="n"/>
      <c r="G1277" s="8">
        <f>IF(OR(ISBLANK(E1277),ISBLANK(F1277)),"",IF(E1277&gt;F1277,"Local",IF(E1277=F1277,"Empate","Visitante")))</f>
        <v/>
      </c>
      <c r="H1277" s="8">
        <f>IF(VLOOKUP(B1277,PARTIDOS!$A:$I,9,FALSE)="Cerrado",IF(G1277=VLOOKUP(B1277,PARTIDOS!$A:$I,8,FALSE),IF(AND(E1277=VLOOKUP(B1277,PARTIDOS!$A:$I,6,FALSE),F1277=VLOOKUP(B1277,PARTIDOS!$A:$I,7,FALSE)),3,1),0),"")</f>
        <v/>
      </c>
    </row>
    <row r="1278" ht="20.1" customHeight="1">
      <c r="A1278" s="12" t="inlineStr">
        <is>
          <t>Jugador 18</t>
        </is>
      </c>
      <c r="B1278" s="8" t="inlineStr">
        <is>
          <t>M53</t>
        </is>
      </c>
      <c r="C1278" s="12" t="inlineStr">
        <is>
          <t>República Checa</t>
        </is>
      </c>
      <c r="D1278" s="12" t="inlineStr">
        <is>
          <t>Irán</t>
        </is>
      </c>
      <c r="E1278" s="8" t="n"/>
      <c r="F1278" s="8" t="n"/>
      <c r="G1278" s="8">
        <f>IF(OR(ISBLANK(E1278),ISBLANK(F1278)),"",IF(E1278&gt;F1278,"Local",IF(E1278=F1278,"Empate","Visitante")))</f>
        <v/>
      </c>
      <c r="H1278" s="8">
        <f>IF(VLOOKUP(B1278,PARTIDOS!$A:$I,9,FALSE)="Cerrado",IF(G1278=VLOOKUP(B1278,PARTIDOS!$A:$I,8,FALSE),IF(AND(E1278=VLOOKUP(B1278,PARTIDOS!$A:$I,6,FALSE),F1278=VLOOKUP(B1278,PARTIDOS!$A:$I,7,FALSE)),3,1),0),"")</f>
        <v/>
      </c>
    </row>
    <row r="1279" ht="20.1" customHeight="1">
      <c r="A1279" s="12" t="inlineStr">
        <is>
          <t>Jugador 18</t>
        </is>
      </c>
      <c r="B1279" s="8" t="inlineStr">
        <is>
          <t>M54</t>
        </is>
      </c>
      <c r="C1279" s="12" t="inlineStr">
        <is>
          <t>Noruega</t>
        </is>
      </c>
      <c r="D1279" s="12" t="inlineStr">
        <is>
          <t>Japón</t>
        </is>
      </c>
      <c r="E1279" s="8" t="n"/>
      <c r="F1279" s="8" t="n"/>
      <c r="G1279" s="8">
        <f>IF(OR(ISBLANK(E1279),ISBLANK(F1279)),"",IF(E1279&gt;F1279,"Local",IF(E1279=F1279,"Empate","Visitante")))</f>
        <v/>
      </c>
      <c r="H1279" s="8">
        <f>IF(VLOOKUP(B1279,PARTIDOS!$A:$I,9,FALSE)="Cerrado",IF(G1279=VLOOKUP(B1279,PARTIDOS!$A:$I,8,FALSE),IF(AND(E1279=VLOOKUP(B1279,PARTIDOS!$A:$I,6,FALSE),F1279=VLOOKUP(B1279,PARTIDOS!$A:$I,7,FALSE)),3,1),0),"")</f>
        <v/>
      </c>
    </row>
    <row r="1280" ht="20.1" customHeight="1">
      <c r="A1280" s="12" t="inlineStr">
        <is>
          <t>Jugador 18</t>
        </is>
      </c>
      <c r="B1280" s="8" t="inlineStr">
        <is>
          <t>M55</t>
        </is>
      </c>
      <c r="C1280" s="12" t="inlineStr">
        <is>
          <t>Corea del Sur</t>
        </is>
      </c>
      <c r="D1280" s="12" t="inlineStr">
        <is>
          <t>Australia</t>
        </is>
      </c>
      <c r="E1280" s="8" t="n"/>
      <c r="F1280" s="8" t="n"/>
      <c r="G1280" s="8">
        <f>IF(OR(ISBLANK(E1280),ISBLANK(F1280)),"",IF(E1280&gt;F1280,"Local",IF(E1280=F1280,"Empate","Visitante")))</f>
        <v/>
      </c>
      <c r="H1280" s="8">
        <f>IF(VLOOKUP(B1280,PARTIDOS!$A:$I,9,FALSE)="Cerrado",IF(G1280=VLOOKUP(B1280,PARTIDOS!$A:$I,8,FALSE),IF(AND(E1280=VLOOKUP(B1280,PARTIDOS!$A:$I,6,FALSE),F1280=VLOOKUP(B1280,PARTIDOS!$A:$I,7,FALSE)),3,1),0),"")</f>
        <v/>
      </c>
    </row>
    <row r="1281" ht="20.1" customHeight="1">
      <c r="A1281" s="12" t="inlineStr">
        <is>
          <t>Jugador 18</t>
        </is>
      </c>
      <c r="B1281" s="8" t="inlineStr">
        <is>
          <t>M56</t>
        </is>
      </c>
      <c r="C1281" s="12" t="inlineStr">
        <is>
          <t>Marruecos</t>
        </is>
      </c>
      <c r="D1281" s="12" t="inlineStr">
        <is>
          <t>Senegal</t>
        </is>
      </c>
      <c r="E1281" s="8" t="n"/>
      <c r="F1281" s="8" t="n"/>
      <c r="G1281" s="8">
        <f>IF(OR(ISBLANK(E1281),ISBLANK(F1281)),"",IF(E1281&gt;F1281,"Local",IF(E1281=F1281,"Empate","Visitante")))</f>
        <v/>
      </c>
      <c r="H1281" s="8">
        <f>IF(VLOOKUP(B1281,PARTIDOS!$A:$I,9,FALSE)="Cerrado",IF(G1281=VLOOKUP(B1281,PARTIDOS!$A:$I,8,FALSE),IF(AND(E1281=VLOOKUP(B1281,PARTIDOS!$A:$I,6,FALSE),F1281=VLOOKUP(B1281,PARTIDOS!$A:$I,7,FALSE)),3,1),0),"")</f>
        <v/>
      </c>
    </row>
    <row r="1282" ht="20.1" customHeight="1">
      <c r="A1282" s="12" t="inlineStr">
        <is>
          <t>Jugador 18</t>
        </is>
      </c>
      <c r="B1282" s="8" t="inlineStr">
        <is>
          <t>M57</t>
        </is>
      </c>
      <c r="C1282" s="12" t="inlineStr">
        <is>
          <t>Corea del Sur</t>
        </is>
      </c>
      <c r="D1282" s="12" t="inlineStr">
        <is>
          <t>Marruecos</t>
        </is>
      </c>
      <c r="E1282" s="8" t="n"/>
      <c r="F1282" s="8" t="n"/>
      <c r="G1282" s="8">
        <f>IF(OR(ISBLANK(E1282),ISBLANK(F1282)),"",IF(E1282&gt;F1282,"Local",IF(E1282=F1282,"Empate","Visitante")))</f>
        <v/>
      </c>
      <c r="H1282" s="8">
        <f>IF(VLOOKUP(B1282,PARTIDOS!$A:$I,9,FALSE)="Cerrado",IF(G1282=VLOOKUP(B1282,PARTIDOS!$A:$I,8,FALSE),IF(AND(E1282=VLOOKUP(B1282,PARTIDOS!$A:$I,6,FALSE),F1282=VLOOKUP(B1282,PARTIDOS!$A:$I,7,FALSE)),3,1),0),"")</f>
        <v/>
      </c>
    </row>
    <row r="1283" ht="20.1" customHeight="1">
      <c r="A1283" s="12" t="inlineStr">
        <is>
          <t>Jugador 18</t>
        </is>
      </c>
      <c r="B1283" s="8" t="inlineStr">
        <is>
          <t>M58</t>
        </is>
      </c>
      <c r="C1283" s="12" t="inlineStr">
        <is>
          <t>Australia</t>
        </is>
      </c>
      <c r="D1283" s="12" t="inlineStr">
        <is>
          <t>Senegal</t>
        </is>
      </c>
      <c r="E1283" s="8" t="n"/>
      <c r="F1283" s="8" t="n"/>
      <c r="G1283" s="8">
        <f>IF(OR(ISBLANK(E1283),ISBLANK(F1283)),"",IF(E1283&gt;F1283,"Local",IF(E1283=F1283,"Empate","Visitante")))</f>
        <v/>
      </c>
      <c r="H1283" s="8">
        <f>IF(VLOOKUP(B1283,PARTIDOS!$A:$I,9,FALSE)="Cerrado",IF(G1283=VLOOKUP(B1283,PARTIDOS!$A:$I,8,FALSE),IF(AND(E1283=VLOOKUP(B1283,PARTIDOS!$A:$I,6,FALSE),F1283=VLOOKUP(B1283,PARTIDOS!$A:$I,7,FALSE)),3,1),0),"")</f>
        <v/>
      </c>
    </row>
    <row r="1284" ht="20.1" customHeight="1">
      <c r="A1284" s="12" t="inlineStr">
        <is>
          <t>Jugador 18</t>
        </is>
      </c>
      <c r="B1284" s="8" t="inlineStr">
        <is>
          <t>M59</t>
        </is>
      </c>
      <c r="C1284" s="12" t="inlineStr">
        <is>
          <t>Corea del Sur</t>
        </is>
      </c>
      <c r="D1284" s="12" t="inlineStr">
        <is>
          <t>Senegal</t>
        </is>
      </c>
      <c r="E1284" s="8" t="n"/>
      <c r="F1284" s="8" t="n"/>
      <c r="G1284" s="8">
        <f>IF(OR(ISBLANK(E1284),ISBLANK(F1284)),"",IF(E1284&gt;F1284,"Local",IF(E1284=F1284,"Empate","Visitante")))</f>
        <v/>
      </c>
      <c r="H1284" s="8">
        <f>IF(VLOOKUP(B1284,PARTIDOS!$A:$I,9,FALSE)="Cerrado",IF(G1284=VLOOKUP(B1284,PARTIDOS!$A:$I,8,FALSE),IF(AND(E1284=VLOOKUP(B1284,PARTIDOS!$A:$I,6,FALSE),F1284=VLOOKUP(B1284,PARTIDOS!$A:$I,7,FALSE)),3,1),0),"")</f>
        <v/>
      </c>
    </row>
    <row r="1285" ht="20.1" customHeight="1">
      <c r="A1285" s="12" t="inlineStr">
        <is>
          <t>Jugador 18</t>
        </is>
      </c>
      <c r="B1285" s="8" t="inlineStr">
        <is>
          <t>M60</t>
        </is>
      </c>
      <c r="C1285" s="12" t="inlineStr">
        <is>
          <t>Australia</t>
        </is>
      </c>
      <c r="D1285" s="12" t="inlineStr">
        <is>
          <t>Marruecos</t>
        </is>
      </c>
      <c r="E1285" s="8" t="n"/>
      <c r="F1285" s="8" t="n"/>
      <c r="G1285" s="8">
        <f>IF(OR(ISBLANK(E1285),ISBLANK(F1285)),"",IF(E1285&gt;F1285,"Local",IF(E1285=F1285,"Empate","Visitante")))</f>
        <v/>
      </c>
      <c r="H1285" s="8">
        <f>IF(VLOOKUP(B1285,PARTIDOS!$A:$I,9,FALSE)="Cerrado",IF(G1285=VLOOKUP(B1285,PARTIDOS!$A:$I,8,FALSE),IF(AND(E1285=VLOOKUP(B1285,PARTIDOS!$A:$I,6,FALSE),F1285=VLOOKUP(B1285,PARTIDOS!$A:$I,7,FALSE)),3,1),0),"")</f>
        <v/>
      </c>
    </row>
    <row r="1286" ht="20.1" customHeight="1">
      <c r="A1286" s="12" t="inlineStr">
        <is>
          <t>Jugador 18</t>
        </is>
      </c>
      <c r="B1286" s="8" t="inlineStr">
        <is>
          <t>M61</t>
        </is>
      </c>
      <c r="C1286" s="12" t="inlineStr">
        <is>
          <t>Túnez</t>
        </is>
      </c>
      <c r="D1286" s="12" t="inlineStr">
        <is>
          <t>Nigeria</t>
        </is>
      </c>
      <c r="E1286" s="8" t="n"/>
      <c r="F1286" s="8" t="n"/>
      <c r="G1286" s="8">
        <f>IF(OR(ISBLANK(E1286),ISBLANK(F1286)),"",IF(E1286&gt;F1286,"Local",IF(E1286=F1286,"Empate","Visitante")))</f>
        <v/>
      </c>
      <c r="H1286" s="8">
        <f>IF(VLOOKUP(B1286,PARTIDOS!$A:$I,9,FALSE)="Cerrado",IF(G1286=VLOOKUP(B1286,PARTIDOS!$A:$I,8,FALSE),IF(AND(E1286=VLOOKUP(B1286,PARTIDOS!$A:$I,6,FALSE),F1286=VLOOKUP(B1286,PARTIDOS!$A:$I,7,FALSE)),3,1),0),"")</f>
        <v/>
      </c>
    </row>
    <row r="1287" ht="20.1" customHeight="1">
      <c r="A1287" s="12" t="inlineStr">
        <is>
          <t>Jugador 18</t>
        </is>
      </c>
      <c r="B1287" s="8" t="inlineStr">
        <is>
          <t>M62</t>
        </is>
      </c>
      <c r="C1287" s="12" t="inlineStr">
        <is>
          <t>Camerún</t>
        </is>
      </c>
      <c r="D1287" s="12" t="inlineStr">
        <is>
          <t>Egipto</t>
        </is>
      </c>
      <c r="E1287" s="8" t="n"/>
      <c r="F1287" s="8" t="n"/>
      <c r="G1287" s="8">
        <f>IF(OR(ISBLANK(E1287),ISBLANK(F1287)),"",IF(E1287&gt;F1287,"Local",IF(E1287=F1287,"Empate","Visitante")))</f>
        <v/>
      </c>
      <c r="H1287" s="8">
        <f>IF(VLOOKUP(B1287,PARTIDOS!$A:$I,9,FALSE)="Cerrado",IF(G1287=VLOOKUP(B1287,PARTIDOS!$A:$I,8,FALSE),IF(AND(E1287=VLOOKUP(B1287,PARTIDOS!$A:$I,6,FALSE),F1287=VLOOKUP(B1287,PARTIDOS!$A:$I,7,FALSE)),3,1),0),"")</f>
        <v/>
      </c>
    </row>
    <row r="1288" ht="20.1" customHeight="1">
      <c r="A1288" s="12" t="inlineStr">
        <is>
          <t>Jugador 18</t>
        </is>
      </c>
      <c r="B1288" s="8" t="inlineStr">
        <is>
          <t>M63</t>
        </is>
      </c>
      <c r="C1288" s="12" t="inlineStr">
        <is>
          <t>Túnez</t>
        </is>
      </c>
      <c r="D1288" s="12" t="inlineStr">
        <is>
          <t>Camerún</t>
        </is>
      </c>
      <c r="E1288" s="8" t="n"/>
      <c r="F1288" s="8" t="n"/>
      <c r="G1288" s="8">
        <f>IF(OR(ISBLANK(E1288),ISBLANK(F1288)),"",IF(E1288&gt;F1288,"Local",IF(E1288=F1288,"Empate","Visitante")))</f>
        <v/>
      </c>
      <c r="H1288" s="8">
        <f>IF(VLOOKUP(B1288,PARTIDOS!$A:$I,9,FALSE)="Cerrado",IF(G1288=VLOOKUP(B1288,PARTIDOS!$A:$I,8,FALSE),IF(AND(E1288=VLOOKUP(B1288,PARTIDOS!$A:$I,6,FALSE),F1288=VLOOKUP(B1288,PARTIDOS!$A:$I,7,FALSE)),3,1),0),"")</f>
        <v/>
      </c>
    </row>
    <row r="1289" ht="20.1" customHeight="1">
      <c r="A1289" s="12" t="inlineStr">
        <is>
          <t>Jugador 18</t>
        </is>
      </c>
      <c r="B1289" s="8" t="inlineStr">
        <is>
          <t>M64</t>
        </is>
      </c>
      <c r="C1289" s="12" t="inlineStr">
        <is>
          <t>Nigeria</t>
        </is>
      </c>
      <c r="D1289" s="12" t="inlineStr">
        <is>
          <t>Egipto</t>
        </is>
      </c>
      <c r="E1289" s="8" t="n"/>
      <c r="F1289" s="8" t="n"/>
      <c r="G1289" s="8">
        <f>IF(OR(ISBLANK(E1289),ISBLANK(F1289)),"",IF(E1289&gt;F1289,"Local",IF(E1289=F1289,"Empate","Visitante")))</f>
        <v/>
      </c>
      <c r="H1289" s="8">
        <f>IF(VLOOKUP(B1289,PARTIDOS!$A:$I,9,FALSE)="Cerrado",IF(G1289=VLOOKUP(B1289,PARTIDOS!$A:$I,8,FALSE),IF(AND(E1289=VLOOKUP(B1289,PARTIDOS!$A:$I,6,FALSE),F1289=VLOOKUP(B1289,PARTIDOS!$A:$I,7,FALSE)),3,1),0),"")</f>
        <v/>
      </c>
    </row>
    <row r="1290" ht="20.1" customHeight="1">
      <c r="A1290" s="12" t="inlineStr">
        <is>
          <t>Jugador 18</t>
        </is>
      </c>
      <c r="B1290" s="8" t="inlineStr">
        <is>
          <t>M65</t>
        </is>
      </c>
      <c r="C1290" s="12" t="inlineStr">
        <is>
          <t>Túnez</t>
        </is>
      </c>
      <c r="D1290" s="12" t="inlineStr">
        <is>
          <t>Egipto</t>
        </is>
      </c>
      <c r="E1290" s="8" t="n"/>
      <c r="F1290" s="8" t="n"/>
      <c r="G1290" s="8">
        <f>IF(OR(ISBLANK(E1290),ISBLANK(F1290)),"",IF(E1290&gt;F1290,"Local",IF(E1290=F1290,"Empate","Visitante")))</f>
        <v/>
      </c>
      <c r="H1290" s="8">
        <f>IF(VLOOKUP(B1290,PARTIDOS!$A:$I,9,FALSE)="Cerrado",IF(G1290=VLOOKUP(B1290,PARTIDOS!$A:$I,8,FALSE),IF(AND(E1290=VLOOKUP(B1290,PARTIDOS!$A:$I,6,FALSE),F1290=VLOOKUP(B1290,PARTIDOS!$A:$I,7,FALSE)),3,1),0),"")</f>
        <v/>
      </c>
    </row>
    <row r="1291" ht="20.1" customHeight="1">
      <c r="A1291" s="12" t="inlineStr">
        <is>
          <t>Jugador 18</t>
        </is>
      </c>
      <c r="B1291" s="8" t="inlineStr">
        <is>
          <t>M66</t>
        </is>
      </c>
      <c r="C1291" s="12" t="inlineStr">
        <is>
          <t>Nigeria</t>
        </is>
      </c>
      <c r="D1291" s="12" t="inlineStr">
        <is>
          <t>Camerún</t>
        </is>
      </c>
      <c r="E1291" s="8" t="n"/>
      <c r="F1291" s="8" t="n"/>
      <c r="G1291" s="8">
        <f>IF(OR(ISBLANK(E1291),ISBLANK(F1291)),"",IF(E1291&gt;F1291,"Local",IF(E1291=F1291,"Empate","Visitante")))</f>
        <v/>
      </c>
      <c r="H1291" s="8">
        <f>IF(VLOOKUP(B1291,PARTIDOS!$A:$I,9,FALSE)="Cerrado",IF(G1291=VLOOKUP(B1291,PARTIDOS!$A:$I,8,FALSE),IF(AND(E1291=VLOOKUP(B1291,PARTIDOS!$A:$I,6,FALSE),F1291=VLOOKUP(B1291,PARTIDOS!$A:$I,7,FALSE)),3,1),0),"")</f>
        <v/>
      </c>
    </row>
    <row r="1292" ht="20.1" customHeight="1">
      <c r="A1292" s="12" t="inlineStr">
        <is>
          <t>Jugador 18</t>
        </is>
      </c>
      <c r="B1292" s="8" t="inlineStr">
        <is>
          <t>M67</t>
        </is>
      </c>
      <c r="C1292" s="12" t="inlineStr">
        <is>
          <t>Costa de Marfil</t>
        </is>
      </c>
      <c r="D1292" s="12" t="inlineStr">
        <is>
          <t>Sudáfrica</t>
        </is>
      </c>
      <c r="E1292" s="8" t="n"/>
      <c r="F1292" s="8" t="n"/>
      <c r="G1292" s="8">
        <f>IF(OR(ISBLANK(E1292),ISBLANK(F1292)),"",IF(E1292&gt;F1292,"Local",IF(E1292=F1292,"Empate","Visitante")))</f>
        <v/>
      </c>
      <c r="H1292" s="8">
        <f>IF(VLOOKUP(B1292,PARTIDOS!$A:$I,9,FALSE)="Cerrado",IF(G1292=VLOOKUP(B1292,PARTIDOS!$A:$I,8,FALSE),IF(AND(E1292=VLOOKUP(B1292,PARTIDOS!$A:$I,6,FALSE),F1292=VLOOKUP(B1292,PARTIDOS!$A:$I,7,FALSE)),3,1),0),"")</f>
        <v/>
      </c>
    </row>
    <row r="1293" ht="20.1" customHeight="1">
      <c r="A1293" s="12" t="inlineStr">
        <is>
          <t>Jugador 18</t>
        </is>
      </c>
      <c r="B1293" s="8" t="inlineStr">
        <is>
          <t>M68</t>
        </is>
      </c>
      <c r="C1293" s="12" t="inlineStr">
        <is>
          <t>Panáma</t>
        </is>
      </c>
      <c r="D1293" s="12" t="inlineStr">
        <is>
          <t>Nueva Zelanda</t>
        </is>
      </c>
      <c r="E1293" s="8" t="n"/>
      <c r="F1293" s="8" t="n"/>
      <c r="G1293" s="8">
        <f>IF(OR(ISBLANK(E1293),ISBLANK(F1293)),"",IF(E1293&gt;F1293,"Local",IF(E1293=F1293,"Empate","Visitante")))</f>
        <v/>
      </c>
      <c r="H1293" s="8">
        <f>IF(VLOOKUP(B1293,PARTIDOS!$A:$I,9,FALSE)="Cerrado",IF(G1293=VLOOKUP(B1293,PARTIDOS!$A:$I,8,FALSE),IF(AND(E1293=VLOOKUP(B1293,PARTIDOS!$A:$I,6,FALSE),F1293=VLOOKUP(B1293,PARTIDOS!$A:$I,7,FALSE)),3,1),0),"")</f>
        <v/>
      </c>
    </row>
    <row r="1294" ht="20.1" customHeight="1">
      <c r="A1294" s="12" t="inlineStr">
        <is>
          <t>Jugador 18</t>
        </is>
      </c>
      <c r="B1294" s="8" t="inlineStr">
        <is>
          <t>M69</t>
        </is>
      </c>
      <c r="C1294" s="12" t="inlineStr">
        <is>
          <t>Costa de Marfil</t>
        </is>
      </c>
      <c r="D1294" s="12" t="inlineStr">
        <is>
          <t>Panáma</t>
        </is>
      </c>
      <c r="E1294" s="8" t="n"/>
      <c r="F1294" s="8" t="n"/>
      <c r="G1294" s="8">
        <f>IF(OR(ISBLANK(E1294),ISBLANK(F1294)),"",IF(E1294&gt;F1294,"Local",IF(E1294=F1294,"Empate","Visitante")))</f>
        <v/>
      </c>
      <c r="H1294" s="8">
        <f>IF(VLOOKUP(B1294,PARTIDOS!$A:$I,9,FALSE)="Cerrado",IF(G1294=VLOOKUP(B1294,PARTIDOS!$A:$I,8,FALSE),IF(AND(E1294=VLOOKUP(B1294,PARTIDOS!$A:$I,6,FALSE),F1294=VLOOKUP(B1294,PARTIDOS!$A:$I,7,FALSE)),3,1),0),"")</f>
        <v/>
      </c>
    </row>
    <row r="1295" ht="20.1" customHeight="1">
      <c r="A1295" s="12" t="inlineStr">
        <is>
          <t>Jugador 18</t>
        </is>
      </c>
      <c r="B1295" s="8" t="inlineStr">
        <is>
          <t>M70</t>
        </is>
      </c>
      <c r="C1295" s="12" t="inlineStr">
        <is>
          <t>Sudáfrica</t>
        </is>
      </c>
      <c r="D1295" s="12" t="inlineStr">
        <is>
          <t>Nueva Zelanda</t>
        </is>
      </c>
      <c r="E1295" s="8" t="n"/>
      <c r="F1295" s="8" t="n"/>
      <c r="G1295" s="8">
        <f>IF(OR(ISBLANK(E1295),ISBLANK(F1295)),"",IF(E1295&gt;F1295,"Local",IF(E1295=F1295,"Empate","Visitante")))</f>
        <v/>
      </c>
      <c r="H1295" s="8">
        <f>IF(VLOOKUP(B1295,PARTIDOS!$A:$I,9,FALSE)="Cerrado",IF(G1295=VLOOKUP(B1295,PARTIDOS!$A:$I,8,FALSE),IF(AND(E1295=VLOOKUP(B1295,PARTIDOS!$A:$I,6,FALSE),F1295=VLOOKUP(B1295,PARTIDOS!$A:$I,7,FALSE)),3,1),0),"")</f>
        <v/>
      </c>
    </row>
    <row r="1296" ht="20.1" customHeight="1">
      <c r="A1296" s="12" t="inlineStr">
        <is>
          <t>Jugador 18</t>
        </is>
      </c>
      <c r="B1296" s="8" t="inlineStr">
        <is>
          <t>M71</t>
        </is>
      </c>
      <c r="C1296" s="12" t="inlineStr">
        <is>
          <t>Costa de Marfil</t>
        </is>
      </c>
      <c r="D1296" s="12" t="inlineStr">
        <is>
          <t>Nueva Zelanda</t>
        </is>
      </c>
      <c r="E1296" s="8" t="n"/>
      <c r="F1296" s="8" t="n"/>
      <c r="G1296" s="8">
        <f>IF(OR(ISBLANK(E1296),ISBLANK(F1296)),"",IF(E1296&gt;F1296,"Local",IF(E1296=F1296,"Empate","Visitante")))</f>
        <v/>
      </c>
      <c r="H1296" s="8">
        <f>IF(VLOOKUP(B1296,PARTIDOS!$A:$I,9,FALSE)="Cerrado",IF(G1296=VLOOKUP(B1296,PARTIDOS!$A:$I,8,FALSE),IF(AND(E1296=VLOOKUP(B1296,PARTIDOS!$A:$I,6,FALSE),F1296=VLOOKUP(B1296,PARTIDOS!$A:$I,7,FALSE)),3,1),0),"")</f>
        <v/>
      </c>
    </row>
    <row r="1297" ht="20.1" customHeight="1">
      <c r="A1297" s="12" t="inlineStr">
        <is>
          <t>Jugador 18</t>
        </is>
      </c>
      <c r="B1297" s="8" t="inlineStr">
        <is>
          <t>M72</t>
        </is>
      </c>
      <c r="C1297" s="12" t="inlineStr">
        <is>
          <t>Sudáfrica</t>
        </is>
      </c>
      <c r="D1297" s="12" t="inlineStr">
        <is>
          <t>Panáma</t>
        </is>
      </c>
      <c r="E1297" s="8" t="n"/>
      <c r="F1297" s="8" t="n"/>
      <c r="G1297" s="8">
        <f>IF(OR(ISBLANK(E1297),ISBLANK(F1297)),"",IF(E1297&gt;F1297,"Local",IF(E1297=F1297,"Empate","Visitante")))</f>
        <v/>
      </c>
      <c r="H1297" s="8">
        <f>IF(VLOOKUP(B1297,PARTIDOS!$A:$I,9,FALSE)="Cerrado",IF(G1297=VLOOKUP(B1297,PARTIDOS!$A:$I,8,FALSE),IF(AND(E1297=VLOOKUP(B1297,PARTIDOS!$A:$I,6,FALSE),F1297=VLOOKUP(B1297,PARTIDOS!$A:$I,7,FALSE)),3,1),0),"")</f>
        <v/>
      </c>
    </row>
    <row r="1298" ht="20.1" customHeight="1">
      <c r="A1298" s="12" t="inlineStr">
        <is>
          <t>Jugador 19</t>
        </is>
      </c>
      <c r="B1298" s="8" t="inlineStr">
        <is>
          <t>M01</t>
        </is>
      </c>
      <c r="C1298" s="12" t="inlineStr">
        <is>
          <t>México</t>
        </is>
      </c>
      <c r="D1298" s="12" t="inlineStr">
        <is>
          <t>EEUU</t>
        </is>
      </c>
      <c r="E1298" s="8" t="n"/>
      <c r="F1298" s="8" t="n"/>
      <c r="G1298" s="8">
        <f>IF(OR(ISBLANK(E1298),ISBLANK(F1298)),"",IF(E1298&gt;F1298,"Local",IF(E1298=F1298,"Empate","Visitante")))</f>
        <v/>
      </c>
      <c r="H1298" s="8">
        <f>IF(VLOOKUP(B1298,PARTIDOS!$A:$I,9,FALSE)="Cerrado",IF(G1298=VLOOKUP(B1298,PARTIDOS!$A:$I,8,FALSE),IF(AND(E1298=VLOOKUP(B1298,PARTIDOS!$A:$I,6,FALSE),F1298=VLOOKUP(B1298,PARTIDOS!$A:$I,7,FALSE)),3,1),0),"")</f>
        <v/>
      </c>
    </row>
    <row r="1299" ht="20.1" customHeight="1">
      <c r="A1299" s="12" t="inlineStr">
        <is>
          <t>Jugador 19</t>
        </is>
      </c>
      <c r="B1299" s="8" t="inlineStr">
        <is>
          <t>M02</t>
        </is>
      </c>
      <c r="C1299" s="12" t="inlineStr">
        <is>
          <t>Canadá</t>
        </is>
      </c>
      <c r="D1299" s="12" t="inlineStr">
        <is>
          <t>Jamaica</t>
        </is>
      </c>
      <c r="E1299" s="8" t="n"/>
      <c r="F1299" s="8" t="n"/>
      <c r="G1299" s="8">
        <f>IF(OR(ISBLANK(E1299),ISBLANK(F1299)),"",IF(E1299&gt;F1299,"Local",IF(E1299=F1299,"Empate","Visitante")))</f>
        <v/>
      </c>
      <c r="H1299" s="8">
        <f>IF(VLOOKUP(B1299,PARTIDOS!$A:$I,9,FALSE)="Cerrado",IF(G1299=VLOOKUP(B1299,PARTIDOS!$A:$I,8,FALSE),IF(AND(E1299=VLOOKUP(B1299,PARTIDOS!$A:$I,6,FALSE),F1299=VLOOKUP(B1299,PARTIDOS!$A:$I,7,FALSE)),3,1),0),"")</f>
        <v/>
      </c>
    </row>
    <row r="1300" ht="20.1" customHeight="1">
      <c r="A1300" s="12" t="inlineStr">
        <is>
          <t>Jugador 19</t>
        </is>
      </c>
      <c r="B1300" s="8" t="inlineStr">
        <is>
          <t>M03</t>
        </is>
      </c>
      <c r="C1300" s="12" t="inlineStr">
        <is>
          <t>México</t>
        </is>
      </c>
      <c r="D1300" s="12" t="inlineStr">
        <is>
          <t>Canadá</t>
        </is>
      </c>
      <c r="E1300" s="8" t="n"/>
      <c r="F1300" s="8" t="n"/>
      <c r="G1300" s="8">
        <f>IF(OR(ISBLANK(E1300),ISBLANK(F1300)),"",IF(E1300&gt;F1300,"Local",IF(E1300=F1300,"Empate","Visitante")))</f>
        <v/>
      </c>
      <c r="H1300" s="8">
        <f>IF(VLOOKUP(B1300,PARTIDOS!$A:$I,9,FALSE)="Cerrado",IF(G1300=VLOOKUP(B1300,PARTIDOS!$A:$I,8,FALSE),IF(AND(E1300=VLOOKUP(B1300,PARTIDOS!$A:$I,6,FALSE),F1300=VLOOKUP(B1300,PARTIDOS!$A:$I,7,FALSE)),3,1),0),"")</f>
        <v/>
      </c>
    </row>
    <row r="1301" ht="20.1" customHeight="1">
      <c r="A1301" s="12" t="inlineStr">
        <is>
          <t>Jugador 19</t>
        </is>
      </c>
      <c r="B1301" s="8" t="inlineStr">
        <is>
          <t>M04</t>
        </is>
      </c>
      <c r="C1301" s="12" t="inlineStr">
        <is>
          <t>EEUU</t>
        </is>
      </c>
      <c r="D1301" s="12" t="inlineStr">
        <is>
          <t>Jamaica</t>
        </is>
      </c>
      <c r="E1301" s="8" t="n"/>
      <c r="F1301" s="8" t="n"/>
      <c r="G1301" s="8">
        <f>IF(OR(ISBLANK(E1301),ISBLANK(F1301)),"",IF(E1301&gt;F1301,"Local",IF(E1301=F1301,"Empate","Visitante")))</f>
        <v/>
      </c>
      <c r="H1301" s="8">
        <f>IF(VLOOKUP(B1301,PARTIDOS!$A:$I,9,FALSE)="Cerrado",IF(G1301=VLOOKUP(B1301,PARTIDOS!$A:$I,8,FALSE),IF(AND(E1301=VLOOKUP(B1301,PARTIDOS!$A:$I,6,FALSE),F1301=VLOOKUP(B1301,PARTIDOS!$A:$I,7,FALSE)),3,1),0),"")</f>
        <v/>
      </c>
    </row>
    <row r="1302" ht="20.1" customHeight="1">
      <c r="A1302" s="12" t="inlineStr">
        <is>
          <t>Jugador 19</t>
        </is>
      </c>
      <c r="B1302" s="8" t="inlineStr">
        <is>
          <t>M05</t>
        </is>
      </c>
      <c r="C1302" s="12" t="inlineStr">
        <is>
          <t>México</t>
        </is>
      </c>
      <c r="D1302" s="12" t="inlineStr">
        <is>
          <t>Jamaica</t>
        </is>
      </c>
      <c r="E1302" s="8" t="n"/>
      <c r="F1302" s="8" t="n"/>
      <c r="G1302" s="8">
        <f>IF(OR(ISBLANK(E1302),ISBLANK(F1302)),"",IF(E1302&gt;F1302,"Local",IF(E1302=F1302,"Empate","Visitante")))</f>
        <v/>
      </c>
      <c r="H1302" s="8">
        <f>IF(VLOOKUP(B1302,PARTIDOS!$A:$I,9,FALSE)="Cerrado",IF(G1302=VLOOKUP(B1302,PARTIDOS!$A:$I,8,FALSE),IF(AND(E1302=VLOOKUP(B1302,PARTIDOS!$A:$I,6,FALSE),F1302=VLOOKUP(B1302,PARTIDOS!$A:$I,7,FALSE)),3,1),0),"")</f>
        <v/>
      </c>
    </row>
    <row r="1303" ht="20.1" customHeight="1">
      <c r="A1303" s="12" t="inlineStr">
        <is>
          <t>Jugador 19</t>
        </is>
      </c>
      <c r="B1303" s="8" t="inlineStr">
        <is>
          <t>M06</t>
        </is>
      </c>
      <c r="C1303" s="12" t="inlineStr">
        <is>
          <t>EEUU</t>
        </is>
      </c>
      <c r="D1303" s="12" t="inlineStr">
        <is>
          <t>Canadá</t>
        </is>
      </c>
      <c r="E1303" s="8" t="n"/>
      <c r="F1303" s="8" t="n"/>
      <c r="G1303" s="8">
        <f>IF(OR(ISBLANK(E1303),ISBLANK(F1303)),"",IF(E1303&gt;F1303,"Local",IF(E1303=F1303,"Empate","Visitante")))</f>
        <v/>
      </c>
      <c r="H1303" s="8">
        <f>IF(VLOOKUP(B1303,PARTIDOS!$A:$I,9,FALSE)="Cerrado",IF(G1303=VLOOKUP(B1303,PARTIDOS!$A:$I,8,FALSE),IF(AND(E1303=VLOOKUP(B1303,PARTIDOS!$A:$I,6,FALSE),F1303=VLOOKUP(B1303,PARTIDOS!$A:$I,7,FALSE)),3,1),0),"")</f>
        <v/>
      </c>
    </row>
    <row r="1304" ht="20.1" customHeight="1">
      <c r="A1304" s="12" t="inlineStr">
        <is>
          <t>Jugador 19</t>
        </is>
      </c>
      <c r="B1304" s="8" t="inlineStr">
        <is>
          <t>M07</t>
        </is>
      </c>
      <c r="C1304" s="12" t="inlineStr">
        <is>
          <t>Argentina</t>
        </is>
      </c>
      <c r="D1304" s="12" t="inlineStr">
        <is>
          <t>Brasil</t>
        </is>
      </c>
      <c r="E1304" s="8" t="n"/>
      <c r="F1304" s="8" t="n"/>
      <c r="G1304" s="8">
        <f>IF(OR(ISBLANK(E1304),ISBLANK(F1304)),"",IF(E1304&gt;F1304,"Local",IF(E1304=F1304,"Empate","Visitante")))</f>
        <v/>
      </c>
      <c r="H1304" s="8">
        <f>IF(VLOOKUP(B1304,PARTIDOS!$A:$I,9,FALSE)="Cerrado",IF(G1304=VLOOKUP(B1304,PARTIDOS!$A:$I,8,FALSE),IF(AND(E1304=VLOOKUP(B1304,PARTIDOS!$A:$I,6,FALSE),F1304=VLOOKUP(B1304,PARTIDOS!$A:$I,7,FALSE)),3,1),0),"")</f>
        <v/>
      </c>
    </row>
    <row r="1305" ht="20.1" customHeight="1">
      <c r="A1305" s="12" t="inlineStr">
        <is>
          <t>Jugador 19</t>
        </is>
      </c>
      <c r="B1305" s="8" t="inlineStr">
        <is>
          <t>M08</t>
        </is>
      </c>
      <c r="C1305" s="12" t="inlineStr">
        <is>
          <t>Colombia</t>
        </is>
      </c>
      <c r="D1305" s="12" t="inlineStr">
        <is>
          <t>Uruguay</t>
        </is>
      </c>
      <c r="E1305" s="8" t="n"/>
      <c r="F1305" s="8" t="n"/>
      <c r="G1305" s="8">
        <f>IF(OR(ISBLANK(E1305),ISBLANK(F1305)),"",IF(E1305&gt;F1305,"Local",IF(E1305=F1305,"Empate","Visitante")))</f>
        <v/>
      </c>
      <c r="H1305" s="8">
        <f>IF(VLOOKUP(B1305,PARTIDOS!$A:$I,9,FALSE)="Cerrado",IF(G1305=VLOOKUP(B1305,PARTIDOS!$A:$I,8,FALSE),IF(AND(E1305=VLOOKUP(B1305,PARTIDOS!$A:$I,6,FALSE),F1305=VLOOKUP(B1305,PARTIDOS!$A:$I,7,FALSE)),3,1),0),"")</f>
        <v/>
      </c>
    </row>
    <row r="1306" ht="20.1" customHeight="1">
      <c r="A1306" s="12" t="inlineStr">
        <is>
          <t>Jugador 19</t>
        </is>
      </c>
      <c r="B1306" s="8" t="inlineStr">
        <is>
          <t>M09</t>
        </is>
      </c>
      <c r="C1306" s="12" t="inlineStr">
        <is>
          <t>Argentina</t>
        </is>
      </c>
      <c r="D1306" s="12" t="inlineStr">
        <is>
          <t>Colombia</t>
        </is>
      </c>
      <c r="E1306" s="8" t="n"/>
      <c r="F1306" s="8" t="n"/>
      <c r="G1306" s="8">
        <f>IF(OR(ISBLANK(E1306),ISBLANK(F1306)),"",IF(E1306&gt;F1306,"Local",IF(E1306=F1306,"Empate","Visitante")))</f>
        <v/>
      </c>
      <c r="H1306" s="8">
        <f>IF(VLOOKUP(B1306,PARTIDOS!$A:$I,9,FALSE)="Cerrado",IF(G1306=VLOOKUP(B1306,PARTIDOS!$A:$I,8,FALSE),IF(AND(E1306=VLOOKUP(B1306,PARTIDOS!$A:$I,6,FALSE),F1306=VLOOKUP(B1306,PARTIDOS!$A:$I,7,FALSE)),3,1),0),"")</f>
        <v/>
      </c>
    </row>
    <row r="1307" ht="20.1" customHeight="1">
      <c r="A1307" s="12" t="inlineStr">
        <is>
          <t>Jugador 19</t>
        </is>
      </c>
      <c r="B1307" s="8" t="inlineStr">
        <is>
          <t>M10</t>
        </is>
      </c>
      <c r="C1307" s="12" t="inlineStr">
        <is>
          <t>Brasil</t>
        </is>
      </c>
      <c r="D1307" s="12" t="inlineStr">
        <is>
          <t>Uruguay</t>
        </is>
      </c>
      <c r="E1307" s="8" t="n"/>
      <c r="F1307" s="8" t="n"/>
      <c r="G1307" s="8">
        <f>IF(OR(ISBLANK(E1307),ISBLANK(F1307)),"",IF(E1307&gt;F1307,"Local",IF(E1307=F1307,"Empate","Visitante")))</f>
        <v/>
      </c>
      <c r="H1307" s="8">
        <f>IF(VLOOKUP(B1307,PARTIDOS!$A:$I,9,FALSE)="Cerrado",IF(G1307=VLOOKUP(B1307,PARTIDOS!$A:$I,8,FALSE),IF(AND(E1307=VLOOKUP(B1307,PARTIDOS!$A:$I,6,FALSE),F1307=VLOOKUP(B1307,PARTIDOS!$A:$I,7,FALSE)),3,1),0),"")</f>
        <v/>
      </c>
    </row>
    <row r="1308" ht="20.1" customHeight="1">
      <c r="A1308" s="12" t="inlineStr">
        <is>
          <t>Jugador 19</t>
        </is>
      </c>
      <c r="B1308" s="8" t="inlineStr">
        <is>
          <t>M11</t>
        </is>
      </c>
      <c r="C1308" s="12" t="inlineStr">
        <is>
          <t>Argentina</t>
        </is>
      </c>
      <c r="D1308" s="12" t="inlineStr">
        <is>
          <t>Uruguay</t>
        </is>
      </c>
      <c r="E1308" s="8" t="n"/>
      <c r="F1308" s="8" t="n"/>
      <c r="G1308" s="8">
        <f>IF(OR(ISBLANK(E1308),ISBLANK(F1308)),"",IF(E1308&gt;F1308,"Local",IF(E1308=F1308,"Empate","Visitante")))</f>
        <v/>
      </c>
      <c r="H1308" s="8">
        <f>IF(VLOOKUP(B1308,PARTIDOS!$A:$I,9,FALSE)="Cerrado",IF(G1308=VLOOKUP(B1308,PARTIDOS!$A:$I,8,FALSE),IF(AND(E1308=VLOOKUP(B1308,PARTIDOS!$A:$I,6,FALSE),F1308=VLOOKUP(B1308,PARTIDOS!$A:$I,7,FALSE)),3,1),0),"")</f>
        <v/>
      </c>
    </row>
    <row r="1309" ht="20.1" customHeight="1">
      <c r="A1309" s="12" t="inlineStr">
        <is>
          <t>Jugador 19</t>
        </is>
      </c>
      <c r="B1309" s="8" t="inlineStr">
        <is>
          <t>M12</t>
        </is>
      </c>
      <c r="C1309" s="12" t="inlineStr">
        <is>
          <t>Brasil</t>
        </is>
      </c>
      <c r="D1309" s="12" t="inlineStr">
        <is>
          <t>Colombia</t>
        </is>
      </c>
      <c r="E1309" s="8" t="n"/>
      <c r="F1309" s="8" t="n"/>
      <c r="G1309" s="8">
        <f>IF(OR(ISBLANK(E1309),ISBLANK(F1309)),"",IF(E1309&gt;F1309,"Local",IF(E1309=F1309,"Empate","Visitante")))</f>
        <v/>
      </c>
      <c r="H1309" s="8">
        <f>IF(VLOOKUP(B1309,PARTIDOS!$A:$I,9,FALSE)="Cerrado",IF(G1309=VLOOKUP(B1309,PARTIDOS!$A:$I,8,FALSE),IF(AND(E1309=VLOOKUP(B1309,PARTIDOS!$A:$I,6,FALSE),F1309=VLOOKUP(B1309,PARTIDOS!$A:$I,7,FALSE)),3,1),0),"")</f>
        <v/>
      </c>
    </row>
    <row r="1310" ht="20.1" customHeight="1">
      <c r="A1310" s="12" t="inlineStr">
        <is>
          <t>Jugador 19</t>
        </is>
      </c>
      <c r="B1310" s="8" t="inlineStr">
        <is>
          <t>M13</t>
        </is>
      </c>
      <c r="C1310" s="12" t="inlineStr">
        <is>
          <t>Ecuador</t>
        </is>
      </c>
      <c r="D1310" s="12" t="inlineStr">
        <is>
          <t>Perú</t>
        </is>
      </c>
      <c r="E1310" s="8" t="n"/>
      <c r="F1310" s="8" t="n"/>
      <c r="G1310" s="8">
        <f>IF(OR(ISBLANK(E1310),ISBLANK(F1310)),"",IF(E1310&gt;F1310,"Local",IF(E1310=F1310,"Empate","Visitante")))</f>
        <v/>
      </c>
      <c r="H1310" s="8">
        <f>IF(VLOOKUP(B1310,PARTIDOS!$A:$I,9,FALSE)="Cerrado",IF(G1310=VLOOKUP(B1310,PARTIDOS!$A:$I,8,FALSE),IF(AND(E1310=VLOOKUP(B1310,PARTIDOS!$A:$I,6,FALSE),F1310=VLOOKUP(B1310,PARTIDOS!$A:$I,7,FALSE)),3,1),0),"")</f>
        <v/>
      </c>
    </row>
    <row r="1311" ht="20.1" customHeight="1">
      <c r="A1311" s="12" t="inlineStr">
        <is>
          <t>Jugador 19</t>
        </is>
      </c>
      <c r="B1311" s="8" t="inlineStr">
        <is>
          <t>M14</t>
        </is>
      </c>
      <c r="C1311" s="12" t="inlineStr">
        <is>
          <t>Chile</t>
        </is>
      </c>
      <c r="D1311" s="12" t="inlineStr">
        <is>
          <t>Paraguay</t>
        </is>
      </c>
      <c r="E1311" s="8" t="n"/>
      <c r="F1311" s="8" t="n"/>
      <c r="G1311" s="8">
        <f>IF(OR(ISBLANK(E1311),ISBLANK(F1311)),"",IF(E1311&gt;F1311,"Local",IF(E1311=F1311,"Empate","Visitante")))</f>
        <v/>
      </c>
      <c r="H1311" s="8">
        <f>IF(VLOOKUP(B1311,PARTIDOS!$A:$I,9,FALSE)="Cerrado",IF(G1311=VLOOKUP(B1311,PARTIDOS!$A:$I,8,FALSE),IF(AND(E1311=VLOOKUP(B1311,PARTIDOS!$A:$I,6,FALSE),F1311=VLOOKUP(B1311,PARTIDOS!$A:$I,7,FALSE)),3,1),0),"")</f>
        <v/>
      </c>
    </row>
    <row r="1312" ht="20.1" customHeight="1">
      <c r="A1312" s="12" t="inlineStr">
        <is>
          <t>Jugador 19</t>
        </is>
      </c>
      <c r="B1312" s="8" t="inlineStr">
        <is>
          <t>M15</t>
        </is>
      </c>
      <c r="C1312" s="12" t="inlineStr">
        <is>
          <t>Ecuador</t>
        </is>
      </c>
      <c r="D1312" s="12" t="inlineStr">
        <is>
          <t>Chile</t>
        </is>
      </c>
      <c r="E1312" s="8" t="n"/>
      <c r="F1312" s="8" t="n"/>
      <c r="G1312" s="8">
        <f>IF(OR(ISBLANK(E1312),ISBLANK(F1312)),"",IF(E1312&gt;F1312,"Local",IF(E1312=F1312,"Empate","Visitante")))</f>
        <v/>
      </c>
      <c r="H1312" s="8">
        <f>IF(VLOOKUP(B1312,PARTIDOS!$A:$I,9,FALSE)="Cerrado",IF(G1312=VLOOKUP(B1312,PARTIDOS!$A:$I,8,FALSE),IF(AND(E1312=VLOOKUP(B1312,PARTIDOS!$A:$I,6,FALSE),F1312=VLOOKUP(B1312,PARTIDOS!$A:$I,7,FALSE)),3,1),0),"")</f>
        <v/>
      </c>
    </row>
    <row r="1313" ht="20.1" customHeight="1">
      <c r="A1313" s="12" t="inlineStr">
        <is>
          <t>Jugador 19</t>
        </is>
      </c>
      <c r="B1313" s="8" t="inlineStr">
        <is>
          <t>M16</t>
        </is>
      </c>
      <c r="C1313" s="12" t="inlineStr">
        <is>
          <t>Perú</t>
        </is>
      </c>
      <c r="D1313" s="12" t="inlineStr">
        <is>
          <t>Paraguay</t>
        </is>
      </c>
      <c r="E1313" s="8" t="n"/>
      <c r="F1313" s="8" t="n"/>
      <c r="G1313" s="8">
        <f>IF(OR(ISBLANK(E1313),ISBLANK(F1313)),"",IF(E1313&gt;F1313,"Local",IF(E1313=F1313,"Empate","Visitante")))</f>
        <v/>
      </c>
      <c r="H1313" s="8">
        <f>IF(VLOOKUP(B1313,PARTIDOS!$A:$I,9,FALSE)="Cerrado",IF(G1313=VLOOKUP(B1313,PARTIDOS!$A:$I,8,FALSE),IF(AND(E1313=VLOOKUP(B1313,PARTIDOS!$A:$I,6,FALSE),F1313=VLOOKUP(B1313,PARTIDOS!$A:$I,7,FALSE)),3,1),0),"")</f>
        <v/>
      </c>
    </row>
    <row r="1314" ht="20.1" customHeight="1">
      <c r="A1314" s="12" t="inlineStr">
        <is>
          <t>Jugador 19</t>
        </is>
      </c>
      <c r="B1314" s="8" t="inlineStr">
        <is>
          <t>M17</t>
        </is>
      </c>
      <c r="C1314" s="12" t="inlineStr">
        <is>
          <t>Ecuador</t>
        </is>
      </c>
      <c r="D1314" s="12" t="inlineStr">
        <is>
          <t>Paraguay</t>
        </is>
      </c>
      <c r="E1314" s="8" t="n"/>
      <c r="F1314" s="8" t="n"/>
      <c r="G1314" s="8">
        <f>IF(OR(ISBLANK(E1314),ISBLANK(F1314)),"",IF(E1314&gt;F1314,"Local",IF(E1314=F1314,"Empate","Visitante")))</f>
        <v/>
      </c>
      <c r="H1314" s="8">
        <f>IF(VLOOKUP(B1314,PARTIDOS!$A:$I,9,FALSE)="Cerrado",IF(G1314=VLOOKUP(B1314,PARTIDOS!$A:$I,8,FALSE),IF(AND(E1314=VLOOKUP(B1314,PARTIDOS!$A:$I,6,FALSE),F1314=VLOOKUP(B1314,PARTIDOS!$A:$I,7,FALSE)),3,1),0),"")</f>
        <v/>
      </c>
    </row>
    <row r="1315" ht="20.1" customHeight="1">
      <c r="A1315" s="12" t="inlineStr">
        <is>
          <t>Jugador 19</t>
        </is>
      </c>
      <c r="B1315" s="8" t="inlineStr">
        <is>
          <t>M18</t>
        </is>
      </c>
      <c r="C1315" s="12" t="inlineStr">
        <is>
          <t>Perú</t>
        </is>
      </c>
      <c r="D1315" s="12" t="inlineStr">
        <is>
          <t>Chile</t>
        </is>
      </c>
      <c r="E1315" s="8" t="n"/>
      <c r="F1315" s="8" t="n"/>
      <c r="G1315" s="8">
        <f>IF(OR(ISBLANK(E1315),ISBLANK(F1315)),"",IF(E1315&gt;F1315,"Local",IF(E1315=F1315,"Empate","Visitante")))</f>
        <v/>
      </c>
      <c r="H1315" s="8">
        <f>IF(VLOOKUP(B1315,PARTIDOS!$A:$I,9,FALSE)="Cerrado",IF(G1315=VLOOKUP(B1315,PARTIDOS!$A:$I,8,FALSE),IF(AND(E1315=VLOOKUP(B1315,PARTIDOS!$A:$I,6,FALSE),F1315=VLOOKUP(B1315,PARTIDOS!$A:$I,7,FALSE)),3,1),0),"")</f>
        <v/>
      </c>
    </row>
    <row r="1316" ht="20.1" customHeight="1">
      <c r="A1316" s="12" t="inlineStr">
        <is>
          <t>Jugador 19</t>
        </is>
      </c>
      <c r="B1316" s="8" t="inlineStr">
        <is>
          <t>M19</t>
        </is>
      </c>
      <c r="C1316" s="12" t="inlineStr">
        <is>
          <t>España</t>
        </is>
      </c>
      <c r="D1316" s="12" t="inlineStr">
        <is>
          <t>Francia</t>
        </is>
      </c>
      <c r="E1316" s="8" t="n"/>
      <c r="F1316" s="8" t="n"/>
      <c r="G1316" s="8">
        <f>IF(OR(ISBLANK(E1316),ISBLANK(F1316)),"",IF(E1316&gt;F1316,"Local",IF(E1316=F1316,"Empate","Visitante")))</f>
        <v/>
      </c>
      <c r="H1316" s="8">
        <f>IF(VLOOKUP(B1316,PARTIDOS!$A:$I,9,FALSE)="Cerrado",IF(G1316=VLOOKUP(B1316,PARTIDOS!$A:$I,8,FALSE),IF(AND(E1316=VLOOKUP(B1316,PARTIDOS!$A:$I,6,FALSE),F1316=VLOOKUP(B1316,PARTIDOS!$A:$I,7,FALSE)),3,1),0),"")</f>
        <v/>
      </c>
    </row>
    <row r="1317" ht="20.1" customHeight="1">
      <c r="A1317" s="12" t="inlineStr">
        <is>
          <t>Jugador 19</t>
        </is>
      </c>
      <c r="B1317" s="8" t="inlineStr">
        <is>
          <t>M20</t>
        </is>
      </c>
      <c r="C1317" s="12" t="inlineStr">
        <is>
          <t>Inglaterra</t>
        </is>
      </c>
      <c r="D1317" s="12" t="inlineStr">
        <is>
          <t>Alemania</t>
        </is>
      </c>
      <c r="E1317" s="8" t="n"/>
      <c r="F1317" s="8" t="n"/>
      <c r="G1317" s="8">
        <f>IF(OR(ISBLANK(E1317),ISBLANK(F1317)),"",IF(E1317&gt;F1317,"Local",IF(E1317=F1317,"Empate","Visitante")))</f>
        <v/>
      </c>
      <c r="H1317" s="8">
        <f>IF(VLOOKUP(B1317,PARTIDOS!$A:$I,9,FALSE)="Cerrado",IF(G1317=VLOOKUP(B1317,PARTIDOS!$A:$I,8,FALSE),IF(AND(E1317=VLOOKUP(B1317,PARTIDOS!$A:$I,6,FALSE),F1317=VLOOKUP(B1317,PARTIDOS!$A:$I,7,FALSE)),3,1),0),"")</f>
        <v/>
      </c>
    </row>
    <row r="1318" ht="20.1" customHeight="1">
      <c r="A1318" s="12" t="inlineStr">
        <is>
          <t>Jugador 19</t>
        </is>
      </c>
      <c r="B1318" s="8" t="inlineStr">
        <is>
          <t>M21</t>
        </is>
      </c>
      <c r="C1318" s="12" t="inlineStr">
        <is>
          <t>España</t>
        </is>
      </c>
      <c r="D1318" s="12" t="inlineStr">
        <is>
          <t>Inglaterra</t>
        </is>
      </c>
      <c r="E1318" s="8" t="n"/>
      <c r="F1318" s="8" t="n"/>
      <c r="G1318" s="8">
        <f>IF(OR(ISBLANK(E1318),ISBLANK(F1318)),"",IF(E1318&gt;F1318,"Local",IF(E1318=F1318,"Empate","Visitante")))</f>
        <v/>
      </c>
      <c r="H1318" s="8">
        <f>IF(VLOOKUP(B1318,PARTIDOS!$A:$I,9,FALSE)="Cerrado",IF(G1318=VLOOKUP(B1318,PARTIDOS!$A:$I,8,FALSE),IF(AND(E1318=VLOOKUP(B1318,PARTIDOS!$A:$I,6,FALSE),F1318=VLOOKUP(B1318,PARTIDOS!$A:$I,7,FALSE)),3,1),0),"")</f>
        <v/>
      </c>
    </row>
    <row r="1319" ht="20.1" customHeight="1">
      <c r="A1319" s="12" t="inlineStr">
        <is>
          <t>Jugador 19</t>
        </is>
      </c>
      <c r="B1319" s="8" t="inlineStr">
        <is>
          <t>M22</t>
        </is>
      </c>
      <c r="C1319" s="12" t="inlineStr">
        <is>
          <t>Francia</t>
        </is>
      </c>
      <c r="D1319" s="12" t="inlineStr">
        <is>
          <t>Alemania</t>
        </is>
      </c>
      <c r="E1319" s="8" t="n"/>
      <c r="F1319" s="8" t="n"/>
      <c r="G1319" s="8">
        <f>IF(OR(ISBLANK(E1319),ISBLANK(F1319)),"",IF(E1319&gt;F1319,"Local",IF(E1319=F1319,"Empate","Visitante")))</f>
        <v/>
      </c>
      <c r="H1319" s="8">
        <f>IF(VLOOKUP(B1319,PARTIDOS!$A:$I,9,FALSE)="Cerrado",IF(G1319=VLOOKUP(B1319,PARTIDOS!$A:$I,8,FALSE),IF(AND(E1319=VLOOKUP(B1319,PARTIDOS!$A:$I,6,FALSE),F1319=VLOOKUP(B1319,PARTIDOS!$A:$I,7,FALSE)),3,1),0),"")</f>
        <v/>
      </c>
    </row>
    <row r="1320" ht="20.1" customHeight="1">
      <c r="A1320" s="12" t="inlineStr">
        <is>
          <t>Jugador 19</t>
        </is>
      </c>
      <c r="B1320" s="8" t="inlineStr">
        <is>
          <t>M23</t>
        </is>
      </c>
      <c r="C1320" s="12" t="inlineStr">
        <is>
          <t>España</t>
        </is>
      </c>
      <c r="D1320" s="12" t="inlineStr">
        <is>
          <t>Alemania</t>
        </is>
      </c>
      <c r="E1320" s="8" t="n"/>
      <c r="F1320" s="8" t="n"/>
      <c r="G1320" s="8">
        <f>IF(OR(ISBLANK(E1320),ISBLANK(F1320)),"",IF(E1320&gt;F1320,"Local",IF(E1320=F1320,"Empate","Visitante")))</f>
        <v/>
      </c>
      <c r="H1320" s="8">
        <f>IF(VLOOKUP(B1320,PARTIDOS!$A:$I,9,FALSE)="Cerrado",IF(G1320=VLOOKUP(B1320,PARTIDOS!$A:$I,8,FALSE),IF(AND(E1320=VLOOKUP(B1320,PARTIDOS!$A:$I,6,FALSE),F1320=VLOOKUP(B1320,PARTIDOS!$A:$I,7,FALSE)),3,1),0),"")</f>
        <v/>
      </c>
    </row>
    <row r="1321" ht="20.1" customHeight="1">
      <c r="A1321" s="12" t="inlineStr">
        <is>
          <t>Jugador 19</t>
        </is>
      </c>
      <c r="B1321" s="8" t="inlineStr">
        <is>
          <t>M24</t>
        </is>
      </c>
      <c r="C1321" s="12" t="inlineStr">
        <is>
          <t>Francia</t>
        </is>
      </c>
      <c r="D1321" s="12" t="inlineStr">
        <is>
          <t>Inglaterra</t>
        </is>
      </c>
      <c r="E1321" s="8" t="n"/>
      <c r="F1321" s="8" t="n"/>
      <c r="G1321" s="8">
        <f>IF(OR(ISBLANK(E1321),ISBLANK(F1321)),"",IF(E1321&gt;F1321,"Local",IF(E1321=F1321,"Empate","Visitante")))</f>
        <v/>
      </c>
      <c r="H1321" s="8">
        <f>IF(VLOOKUP(B1321,PARTIDOS!$A:$I,9,FALSE)="Cerrado",IF(G1321=VLOOKUP(B1321,PARTIDOS!$A:$I,8,FALSE),IF(AND(E1321=VLOOKUP(B1321,PARTIDOS!$A:$I,6,FALSE),F1321=VLOOKUP(B1321,PARTIDOS!$A:$I,7,FALSE)),3,1),0),"")</f>
        <v/>
      </c>
    </row>
    <row r="1322" ht="20.1" customHeight="1">
      <c r="A1322" s="12" t="inlineStr">
        <is>
          <t>Jugador 19</t>
        </is>
      </c>
      <c r="B1322" s="8" t="inlineStr">
        <is>
          <t>M25</t>
        </is>
      </c>
      <c r="C1322" s="12" t="inlineStr">
        <is>
          <t>Portugal</t>
        </is>
      </c>
      <c r="D1322" s="12" t="inlineStr">
        <is>
          <t>Bélgica</t>
        </is>
      </c>
      <c r="E1322" s="8" t="n"/>
      <c r="F1322" s="8" t="n"/>
      <c r="G1322" s="8">
        <f>IF(OR(ISBLANK(E1322),ISBLANK(F1322)),"",IF(E1322&gt;F1322,"Local",IF(E1322=F1322,"Empate","Visitante")))</f>
        <v/>
      </c>
      <c r="H1322" s="8">
        <f>IF(VLOOKUP(B1322,PARTIDOS!$A:$I,9,FALSE)="Cerrado",IF(G1322=VLOOKUP(B1322,PARTIDOS!$A:$I,8,FALSE),IF(AND(E1322=VLOOKUP(B1322,PARTIDOS!$A:$I,6,FALSE),F1322=VLOOKUP(B1322,PARTIDOS!$A:$I,7,FALSE)),3,1),0),"")</f>
        <v/>
      </c>
    </row>
    <row r="1323" ht="20.1" customHeight="1">
      <c r="A1323" s="12" t="inlineStr">
        <is>
          <t>Jugador 19</t>
        </is>
      </c>
      <c r="B1323" s="8" t="inlineStr">
        <is>
          <t>M26</t>
        </is>
      </c>
      <c r="C1323" s="12" t="inlineStr">
        <is>
          <t>Países Bajos</t>
        </is>
      </c>
      <c r="D1323" s="12" t="inlineStr">
        <is>
          <t>Italia</t>
        </is>
      </c>
      <c r="E1323" s="8" t="n"/>
      <c r="F1323" s="8" t="n"/>
      <c r="G1323" s="8">
        <f>IF(OR(ISBLANK(E1323),ISBLANK(F1323)),"",IF(E1323&gt;F1323,"Local",IF(E1323=F1323,"Empate","Visitante")))</f>
        <v/>
      </c>
      <c r="H1323" s="8">
        <f>IF(VLOOKUP(B1323,PARTIDOS!$A:$I,9,FALSE)="Cerrado",IF(G1323=VLOOKUP(B1323,PARTIDOS!$A:$I,8,FALSE),IF(AND(E1323=VLOOKUP(B1323,PARTIDOS!$A:$I,6,FALSE),F1323=VLOOKUP(B1323,PARTIDOS!$A:$I,7,FALSE)),3,1),0),"")</f>
        <v/>
      </c>
    </row>
    <row r="1324" ht="20.1" customHeight="1">
      <c r="A1324" s="12" t="inlineStr">
        <is>
          <t>Jugador 19</t>
        </is>
      </c>
      <c r="B1324" s="8" t="inlineStr">
        <is>
          <t>M27</t>
        </is>
      </c>
      <c r="C1324" s="12" t="inlineStr">
        <is>
          <t>Portugal</t>
        </is>
      </c>
      <c r="D1324" s="12" t="inlineStr">
        <is>
          <t>Países Bajos</t>
        </is>
      </c>
      <c r="E1324" s="8" t="n"/>
      <c r="F1324" s="8" t="n"/>
      <c r="G1324" s="8">
        <f>IF(OR(ISBLANK(E1324),ISBLANK(F1324)),"",IF(E1324&gt;F1324,"Local",IF(E1324=F1324,"Empate","Visitante")))</f>
        <v/>
      </c>
      <c r="H1324" s="8">
        <f>IF(VLOOKUP(B1324,PARTIDOS!$A:$I,9,FALSE)="Cerrado",IF(G1324=VLOOKUP(B1324,PARTIDOS!$A:$I,8,FALSE),IF(AND(E1324=VLOOKUP(B1324,PARTIDOS!$A:$I,6,FALSE),F1324=VLOOKUP(B1324,PARTIDOS!$A:$I,7,FALSE)),3,1),0),"")</f>
        <v/>
      </c>
    </row>
    <row r="1325" ht="20.1" customHeight="1">
      <c r="A1325" s="12" t="inlineStr">
        <is>
          <t>Jugador 19</t>
        </is>
      </c>
      <c r="B1325" s="8" t="inlineStr">
        <is>
          <t>M28</t>
        </is>
      </c>
      <c r="C1325" s="12" t="inlineStr">
        <is>
          <t>Bélgica</t>
        </is>
      </c>
      <c r="D1325" s="12" t="inlineStr">
        <is>
          <t>Italia</t>
        </is>
      </c>
      <c r="E1325" s="8" t="n"/>
      <c r="F1325" s="8" t="n"/>
      <c r="G1325" s="8">
        <f>IF(OR(ISBLANK(E1325),ISBLANK(F1325)),"",IF(E1325&gt;F1325,"Local",IF(E1325=F1325,"Empate","Visitante")))</f>
        <v/>
      </c>
      <c r="H1325" s="8">
        <f>IF(VLOOKUP(B1325,PARTIDOS!$A:$I,9,FALSE)="Cerrado",IF(G1325=VLOOKUP(B1325,PARTIDOS!$A:$I,8,FALSE),IF(AND(E1325=VLOOKUP(B1325,PARTIDOS!$A:$I,6,FALSE),F1325=VLOOKUP(B1325,PARTIDOS!$A:$I,7,FALSE)),3,1),0),"")</f>
        <v/>
      </c>
    </row>
    <row r="1326" ht="20.1" customHeight="1">
      <c r="A1326" s="12" t="inlineStr">
        <is>
          <t>Jugador 19</t>
        </is>
      </c>
      <c r="B1326" s="8" t="inlineStr">
        <is>
          <t>M29</t>
        </is>
      </c>
      <c r="C1326" s="12" t="inlineStr">
        <is>
          <t>Portugal</t>
        </is>
      </c>
      <c r="D1326" s="12" t="inlineStr">
        <is>
          <t>Italia</t>
        </is>
      </c>
      <c r="E1326" s="8" t="n"/>
      <c r="F1326" s="8" t="n"/>
      <c r="G1326" s="8">
        <f>IF(OR(ISBLANK(E1326),ISBLANK(F1326)),"",IF(E1326&gt;F1326,"Local",IF(E1326=F1326,"Empate","Visitante")))</f>
        <v/>
      </c>
      <c r="H1326" s="8">
        <f>IF(VLOOKUP(B1326,PARTIDOS!$A:$I,9,FALSE)="Cerrado",IF(G1326=VLOOKUP(B1326,PARTIDOS!$A:$I,8,FALSE),IF(AND(E1326=VLOOKUP(B1326,PARTIDOS!$A:$I,6,FALSE),F1326=VLOOKUP(B1326,PARTIDOS!$A:$I,7,FALSE)),3,1),0),"")</f>
        <v/>
      </c>
    </row>
    <row r="1327" ht="20.1" customHeight="1">
      <c r="A1327" s="12" t="inlineStr">
        <is>
          <t>Jugador 19</t>
        </is>
      </c>
      <c r="B1327" s="8" t="inlineStr">
        <is>
          <t>M30</t>
        </is>
      </c>
      <c r="C1327" s="12" t="inlineStr">
        <is>
          <t>Bélgica</t>
        </is>
      </c>
      <c r="D1327" s="12" t="inlineStr">
        <is>
          <t>Países Bajos</t>
        </is>
      </c>
      <c r="E1327" s="8" t="n"/>
      <c r="F1327" s="8" t="n"/>
      <c r="G1327" s="8">
        <f>IF(OR(ISBLANK(E1327),ISBLANK(F1327)),"",IF(E1327&gt;F1327,"Local",IF(E1327=F1327,"Empate","Visitante")))</f>
        <v/>
      </c>
      <c r="H1327" s="8">
        <f>IF(VLOOKUP(B1327,PARTIDOS!$A:$I,9,FALSE)="Cerrado",IF(G1327=VLOOKUP(B1327,PARTIDOS!$A:$I,8,FALSE),IF(AND(E1327=VLOOKUP(B1327,PARTIDOS!$A:$I,6,FALSE),F1327=VLOOKUP(B1327,PARTIDOS!$A:$I,7,FALSE)),3,1),0),"")</f>
        <v/>
      </c>
    </row>
    <row r="1328" ht="20.1" customHeight="1">
      <c r="A1328" s="12" t="inlineStr">
        <is>
          <t>Jugador 19</t>
        </is>
      </c>
      <c r="B1328" s="8" t="inlineStr">
        <is>
          <t>M31</t>
        </is>
      </c>
      <c r="C1328" s="12" t="inlineStr">
        <is>
          <t>Croacia</t>
        </is>
      </c>
      <c r="D1328" s="12" t="inlineStr">
        <is>
          <t>Suiza</t>
        </is>
      </c>
      <c r="E1328" s="8" t="n"/>
      <c r="F1328" s="8" t="n"/>
      <c r="G1328" s="8">
        <f>IF(OR(ISBLANK(E1328),ISBLANK(F1328)),"",IF(E1328&gt;F1328,"Local",IF(E1328=F1328,"Empate","Visitante")))</f>
        <v/>
      </c>
      <c r="H1328" s="8">
        <f>IF(VLOOKUP(B1328,PARTIDOS!$A:$I,9,FALSE)="Cerrado",IF(G1328=VLOOKUP(B1328,PARTIDOS!$A:$I,8,FALSE),IF(AND(E1328=VLOOKUP(B1328,PARTIDOS!$A:$I,6,FALSE),F1328=VLOOKUP(B1328,PARTIDOS!$A:$I,7,FALSE)),3,1),0),"")</f>
        <v/>
      </c>
    </row>
    <row r="1329" ht="20.1" customHeight="1">
      <c r="A1329" s="12" t="inlineStr">
        <is>
          <t>Jugador 19</t>
        </is>
      </c>
      <c r="B1329" s="8" t="inlineStr">
        <is>
          <t>M32</t>
        </is>
      </c>
      <c r="C1329" s="12" t="inlineStr">
        <is>
          <t>Dinamarca</t>
        </is>
      </c>
      <c r="D1329" s="12" t="inlineStr">
        <is>
          <t>Serbia</t>
        </is>
      </c>
      <c r="E1329" s="8" t="n"/>
      <c r="F1329" s="8" t="n"/>
      <c r="G1329" s="8">
        <f>IF(OR(ISBLANK(E1329),ISBLANK(F1329)),"",IF(E1329&gt;F1329,"Local",IF(E1329=F1329,"Empate","Visitante")))</f>
        <v/>
      </c>
      <c r="H1329" s="8">
        <f>IF(VLOOKUP(B1329,PARTIDOS!$A:$I,9,FALSE)="Cerrado",IF(G1329=VLOOKUP(B1329,PARTIDOS!$A:$I,8,FALSE),IF(AND(E1329=VLOOKUP(B1329,PARTIDOS!$A:$I,6,FALSE),F1329=VLOOKUP(B1329,PARTIDOS!$A:$I,7,FALSE)),3,1),0),"")</f>
        <v/>
      </c>
    </row>
    <row r="1330" ht="20.1" customHeight="1">
      <c r="A1330" s="12" t="inlineStr">
        <is>
          <t>Jugador 19</t>
        </is>
      </c>
      <c r="B1330" s="8" t="inlineStr">
        <is>
          <t>M33</t>
        </is>
      </c>
      <c r="C1330" s="12" t="inlineStr">
        <is>
          <t>Croacia</t>
        </is>
      </c>
      <c r="D1330" s="12" t="inlineStr">
        <is>
          <t>Dinamarca</t>
        </is>
      </c>
      <c r="E1330" s="8" t="n"/>
      <c r="F1330" s="8" t="n"/>
      <c r="G1330" s="8">
        <f>IF(OR(ISBLANK(E1330),ISBLANK(F1330)),"",IF(E1330&gt;F1330,"Local",IF(E1330=F1330,"Empate","Visitante")))</f>
        <v/>
      </c>
      <c r="H1330" s="8">
        <f>IF(VLOOKUP(B1330,PARTIDOS!$A:$I,9,FALSE)="Cerrado",IF(G1330=VLOOKUP(B1330,PARTIDOS!$A:$I,8,FALSE),IF(AND(E1330=VLOOKUP(B1330,PARTIDOS!$A:$I,6,FALSE),F1330=VLOOKUP(B1330,PARTIDOS!$A:$I,7,FALSE)),3,1),0),"")</f>
        <v/>
      </c>
    </row>
    <row r="1331" ht="20.1" customHeight="1">
      <c r="A1331" s="12" t="inlineStr">
        <is>
          <t>Jugador 19</t>
        </is>
      </c>
      <c r="B1331" s="8" t="inlineStr">
        <is>
          <t>M34</t>
        </is>
      </c>
      <c r="C1331" s="12" t="inlineStr">
        <is>
          <t>Suiza</t>
        </is>
      </c>
      <c r="D1331" s="12" t="inlineStr">
        <is>
          <t>Serbia</t>
        </is>
      </c>
      <c r="E1331" s="8" t="n"/>
      <c r="F1331" s="8" t="n"/>
      <c r="G1331" s="8">
        <f>IF(OR(ISBLANK(E1331),ISBLANK(F1331)),"",IF(E1331&gt;F1331,"Local",IF(E1331=F1331,"Empate","Visitante")))</f>
        <v/>
      </c>
      <c r="H1331" s="8">
        <f>IF(VLOOKUP(B1331,PARTIDOS!$A:$I,9,FALSE)="Cerrado",IF(G1331=VLOOKUP(B1331,PARTIDOS!$A:$I,8,FALSE),IF(AND(E1331=VLOOKUP(B1331,PARTIDOS!$A:$I,6,FALSE),F1331=VLOOKUP(B1331,PARTIDOS!$A:$I,7,FALSE)),3,1),0),"")</f>
        <v/>
      </c>
    </row>
    <row r="1332" ht="20.1" customHeight="1">
      <c r="A1332" s="12" t="inlineStr">
        <is>
          <t>Jugador 19</t>
        </is>
      </c>
      <c r="B1332" s="8" t="inlineStr">
        <is>
          <t>M35</t>
        </is>
      </c>
      <c r="C1332" s="12" t="inlineStr">
        <is>
          <t>Croacia</t>
        </is>
      </c>
      <c r="D1332" s="12" t="inlineStr">
        <is>
          <t>Serbia</t>
        </is>
      </c>
      <c r="E1332" s="8" t="n"/>
      <c r="F1332" s="8" t="n"/>
      <c r="G1332" s="8">
        <f>IF(OR(ISBLANK(E1332),ISBLANK(F1332)),"",IF(E1332&gt;F1332,"Local",IF(E1332=F1332,"Empate","Visitante")))</f>
        <v/>
      </c>
      <c r="H1332" s="8">
        <f>IF(VLOOKUP(B1332,PARTIDOS!$A:$I,9,FALSE)="Cerrado",IF(G1332=VLOOKUP(B1332,PARTIDOS!$A:$I,8,FALSE),IF(AND(E1332=VLOOKUP(B1332,PARTIDOS!$A:$I,6,FALSE),F1332=VLOOKUP(B1332,PARTIDOS!$A:$I,7,FALSE)),3,1),0),"")</f>
        <v/>
      </c>
    </row>
    <row r="1333" ht="20.1" customHeight="1">
      <c r="A1333" s="12" t="inlineStr">
        <is>
          <t>Jugador 19</t>
        </is>
      </c>
      <c r="B1333" s="8" t="inlineStr">
        <is>
          <t>M36</t>
        </is>
      </c>
      <c r="C1333" s="12" t="inlineStr">
        <is>
          <t>Suiza</t>
        </is>
      </c>
      <c r="D1333" s="12" t="inlineStr">
        <is>
          <t>Dinamarca</t>
        </is>
      </c>
      <c r="E1333" s="8" t="n"/>
      <c r="F1333" s="8" t="n"/>
      <c r="G1333" s="8">
        <f>IF(OR(ISBLANK(E1333),ISBLANK(F1333)),"",IF(E1333&gt;F1333,"Local",IF(E1333=F1333,"Empate","Visitante")))</f>
        <v/>
      </c>
      <c r="H1333" s="8">
        <f>IF(VLOOKUP(B1333,PARTIDOS!$A:$I,9,FALSE)="Cerrado",IF(G1333=VLOOKUP(B1333,PARTIDOS!$A:$I,8,FALSE),IF(AND(E1333=VLOOKUP(B1333,PARTIDOS!$A:$I,6,FALSE),F1333=VLOOKUP(B1333,PARTIDOS!$A:$I,7,FALSE)),3,1),0),"")</f>
        <v/>
      </c>
    </row>
    <row r="1334" ht="20.1" customHeight="1">
      <c r="A1334" s="12" t="inlineStr">
        <is>
          <t>Jugador 19</t>
        </is>
      </c>
      <c r="B1334" s="8" t="inlineStr">
        <is>
          <t>M37</t>
        </is>
      </c>
      <c r="C1334" s="12" t="inlineStr">
        <is>
          <t>Polonia</t>
        </is>
      </c>
      <c r="D1334" s="12" t="inlineStr">
        <is>
          <t>Ucrania</t>
        </is>
      </c>
      <c r="E1334" s="8" t="n"/>
      <c r="F1334" s="8" t="n"/>
      <c r="G1334" s="8">
        <f>IF(OR(ISBLANK(E1334),ISBLANK(F1334)),"",IF(E1334&gt;F1334,"Local",IF(E1334=F1334,"Empate","Visitante")))</f>
        <v/>
      </c>
      <c r="H1334" s="8">
        <f>IF(VLOOKUP(B1334,PARTIDOS!$A:$I,9,FALSE)="Cerrado",IF(G1334=VLOOKUP(B1334,PARTIDOS!$A:$I,8,FALSE),IF(AND(E1334=VLOOKUP(B1334,PARTIDOS!$A:$I,6,FALSE),F1334=VLOOKUP(B1334,PARTIDOS!$A:$I,7,FALSE)),3,1),0),"")</f>
        <v/>
      </c>
    </row>
    <row r="1335" ht="20.1" customHeight="1">
      <c r="A1335" s="12" t="inlineStr">
        <is>
          <t>Jugador 19</t>
        </is>
      </c>
      <c r="B1335" s="8" t="inlineStr">
        <is>
          <t>M38</t>
        </is>
      </c>
      <c r="C1335" s="12" t="inlineStr">
        <is>
          <t>Suecia</t>
        </is>
      </c>
      <c r="D1335" s="12" t="inlineStr">
        <is>
          <t>Gales</t>
        </is>
      </c>
      <c r="E1335" s="8" t="n"/>
      <c r="F1335" s="8" t="n"/>
      <c r="G1335" s="8">
        <f>IF(OR(ISBLANK(E1335),ISBLANK(F1335)),"",IF(E1335&gt;F1335,"Local",IF(E1335=F1335,"Empate","Visitante")))</f>
        <v/>
      </c>
      <c r="H1335" s="8">
        <f>IF(VLOOKUP(B1335,PARTIDOS!$A:$I,9,FALSE)="Cerrado",IF(G1335=VLOOKUP(B1335,PARTIDOS!$A:$I,8,FALSE),IF(AND(E1335=VLOOKUP(B1335,PARTIDOS!$A:$I,6,FALSE),F1335=VLOOKUP(B1335,PARTIDOS!$A:$I,7,FALSE)),3,1),0),"")</f>
        <v/>
      </c>
    </row>
    <row r="1336" ht="20.1" customHeight="1">
      <c r="A1336" s="12" t="inlineStr">
        <is>
          <t>Jugador 19</t>
        </is>
      </c>
      <c r="B1336" s="8" t="inlineStr">
        <is>
          <t>M39</t>
        </is>
      </c>
      <c r="C1336" s="12" t="inlineStr">
        <is>
          <t>Polonia</t>
        </is>
      </c>
      <c r="D1336" s="12" t="inlineStr">
        <is>
          <t>Suecia</t>
        </is>
      </c>
      <c r="E1336" s="8" t="n"/>
      <c r="F1336" s="8" t="n"/>
      <c r="G1336" s="8">
        <f>IF(OR(ISBLANK(E1336),ISBLANK(F1336)),"",IF(E1336&gt;F1336,"Local",IF(E1336=F1336,"Empate","Visitante")))</f>
        <v/>
      </c>
      <c r="H1336" s="8">
        <f>IF(VLOOKUP(B1336,PARTIDOS!$A:$I,9,FALSE)="Cerrado",IF(G1336=VLOOKUP(B1336,PARTIDOS!$A:$I,8,FALSE),IF(AND(E1336=VLOOKUP(B1336,PARTIDOS!$A:$I,6,FALSE),F1336=VLOOKUP(B1336,PARTIDOS!$A:$I,7,FALSE)),3,1),0),"")</f>
        <v/>
      </c>
    </row>
    <row r="1337" ht="20.1" customHeight="1">
      <c r="A1337" s="12" t="inlineStr">
        <is>
          <t>Jugador 19</t>
        </is>
      </c>
      <c r="B1337" s="8" t="inlineStr">
        <is>
          <t>M40</t>
        </is>
      </c>
      <c r="C1337" s="12" t="inlineStr">
        <is>
          <t>Ucrania</t>
        </is>
      </c>
      <c r="D1337" s="12" t="inlineStr">
        <is>
          <t>Gales</t>
        </is>
      </c>
      <c r="E1337" s="8" t="n"/>
      <c r="F1337" s="8" t="n"/>
      <c r="G1337" s="8">
        <f>IF(OR(ISBLANK(E1337),ISBLANK(F1337)),"",IF(E1337&gt;F1337,"Local",IF(E1337=F1337,"Empate","Visitante")))</f>
        <v/>
      </c>
      <c r="H1337" s="8">
        <f>IF(VLOOKUP(B1337,PARTIDOS!$A:$I,9,FALSE)="Cerrado",IF(G1337=VLOOKUP(B1337,PARTIDOS!$A:$I,8,FALSE),IF(AND(E1337=VLOOKUP(B1337,PARTIDOS!$A:$I,6,FALSE),F1337=VLOOKUP(B1337,PARTIDOS!$A:$I,7,FALSE)),3,1),0),"")</f>
        <v/>
      </c>
    </row>
    <row r="1338" ht="20.1" customHeight="1">
      <c r="A1338" s="12" t="inlineStr">
        <is>
          <t>Jugador 19</t>
        </is>
      </c>
      <c r="B1338" s="8" t="inlineStr">
        <is>
          <t>M41</t>
        </is>
      </c>
      <c r="C1338" s="12" t="inlineStr">
        <is>
          <t>Polonia</t>
        </is>
      </c>
      <c r="D1338" s="12" t="inlineStr">
        <is>
          <t>Gales</t>
        </is>
      </c>
      <c r="E1338" s="8" t="n"/>
      <c r="F1338" s="8" t="n"/>
      <c r="G1338" s="8">
        <f>IF(OR(ISBLANK(E1338),ISBLANK(F1338)),"",IF(E1338&gt;F1338,"Local",IF(E1338=F1338,"Empate","Visitante")))</f>
        <v/>
      </c>
      <c r="H1338" s="8">
        <f>IF(VLOOKUP(B1338,PARTIDOS!$A:$I,9,FALSE)="Cerrado",IF(G1338=VLOOKUP(B1338,PARTIDOS!$A:$I,8,FALSE),IF(AND(E1338=VLOOKUP(B1338,PARTIDOS!$A:$I,6,FALSE),F1338=VLOOKUP(B1338,PARTIDOS!$A:$I,7,FALSE)),3,1),0),"")</f>
        <v/>
      </c>
    </row>
    <row r="1339" ht="20.1" customHeight="1">
      <c r="A1339" s="12" t="inlineStr">
        <is>
          <t>Jugador 19</t>
        </is>
      </c>
      <c r="B1339" s="8" t="inlineStr">
        <is>
          <t>M42</t>
        </is>
      </c>
      <c r="C1339" s="12" t="inlineStr">
        <is>
          <t>Ucrania</t>
        </is>
      </c>
      <c r="D1339" s="12" t="inlineStr">
        <is>
          <t>Suecia</t>
        </is>
      </c>
      <c r="E1339" s="8" t="n"/>
      <c r="F1339" s="8" t="n"/>
      <c r="G1339" s="8">
        <f>IF(OR(ISBLANK(E1339),ISBLANK(F1339)),"",IF(E1339&gt;F1339,"Local",IF(E1339=F1339,"Empate","Visitante")))</f>
        <v/>
      </c>
      <c r="H1339" s="8">
        <f>IF(VLOOKUP(B1339,PARTIDOS!$A:$I,9,FALSE)="Cerrado",IF(G1339=VLOOKUP(B1339,PARTIDOS!$A:$I,8,FALSE),IF(AND(E1339=VLOOKUP(B1339,PARTIDOS!$A:$I,6,FALSE),F1339=VLOOKUP(B1339,PARTIDOS!$A:$I,7,FALSE)),3,1),0),"")</f>
        <v/>
      </c>
    </row>
    <row r="1340" ht="20.1" customHeight="1">
      <c r="A1340" s="12" t="inlineStr">
        <is>
          <t>Jugador 19</t>
        </is>
      </c>
      <c r="B1340" s="8" t="inlineStr">
        <is>
          <t>M43</t>
        </is>
      </c>
      <c r="C1340" s="12" t="inlineStr">
        <is>
          <t>Austria</t>
        </is>
      </c>
      <c r="D1340" s="12" t="inlineStr">
        <is>
          <t>Hungría</t>
        </is>
      </c>
      <c r="E1340" s="8" t="n"/>
      <c r="F1340" s="8" t="n"/>
      <c r="G1340" s="8">
        <f>IF(OR(ISBLANK(E1340),ISBLANK(F1340)),"",IF(E1340&gt;F1340,"Local",IF(E1340=F1340,"Empate","Visitante")))</f>
        <v/>
      </c>
      <c r="H1340" s="8">
        <f>IF(VLOOKUP(B1340,PARTIDOS!$A:$I,9,FALSE)="Cerrado",IF(G1340=VLOOKUP(B1340,PARTIDOS!$A:$I,8,FALSE),IF(AND(E1340=VLOOKUP(B1340,PARTIDOS!$A:$I,6,FALSE),F1340=VLOOKUP(B1340,PARTIDOS!$A:$I,7,FALSE)),3,1),0),"")</f>
        <v/>
      </c>
    </row>
    <row r="1341" ht="20.1" customHeight="1">
      <c r="A1341" s="12" t="inlineStr">
        <is>
          <t>Jugador 19</t>
        </is>
      </c>
      <c r="B1341" s="8" t="inlineStr">
        <is>
          <t>M44</t>
        </is>
      </c>
      <c r="C1341" s="12" t="inlineStr">
        <is>
          <t>Turquía</t>
        </is>
      </c>
      <c r="D1341" s="12" t="inlineStr">
        <is>
          <t>Escocia</t>
        </is>
      </c>
      <c r="E1341" s="8" t="n"/>
      <c r="F1341" s="8" t="n"/>
      <c r="G1341" s="8">
        <f>IF(OR(ISBLANK(E1341),ISBLANK(F1341)),"",IF(E1341&gt;F1341,"Local",IF(E1341=F1341,"Empate","Visitante")))</f>
        <v/>
      </c>
      <c r="H1341" s="8">
        <f>IF(VLOOKUP(B1341,PARTIDOS!$A:$I,9,FALSE)="Cerrado",IF(G1341=VLOOKUP(B1341,PARTIDOS!$A:$I,8,FALSE),IF(AND(E1341=VLOOKUP(B1341,PARTIDOS!$A:$I,6,FALSE),F1341=VLOOKUP(B1341,PARTIDOS!$A:$I,7,FALSE)),3,1),0),"")</f>
        <v/>
      </c>
    </row>
    <row r="1342" ht="20.1" customHeight="1">
      <c r="A1342" s="12" t="inlineStr">
        <is>
          <t>Jugador 19</t>
        </is>
      </c>
      <c r="B1342" s="8" t="inlineStr">
        <is>
          <t>M45</t>
        </is>
      </c>
      <c r="C1342" s="12" t="inlineStr">
        <is>
          <t>Austria</t>
        </is>
      </c>
      <c r="D1342" s="12" t="inlineStr">
        <is>
          <t>Turquía</t>
        </is>
      </c>
      <c r="E1342" s="8" t="n"/>
      <c r="F1342" s="8" t="n"/>
      <c r="G1342" s="8">
        <f>IF(OR(ISBLANK(E1342),ISBLANK(F1342)),"",IF(E1342&gt;F1342,"Local",IF(E1342=F1342,"Empate","Visitante")))</f>
        <v/>
      </c>
      <c r="H1342" s="8">
        <f>IF(VLOOKUP(B1342,PARTIDOS!$A:$I,9,FALSE)="Cerrado",IF(G1342=VLOOKUP(B1342,PARTIDOS!$A:$I,8,FALSE),IF(AND(E1342=VLOOKUP(B1342,PARTIDOS!$A:$I,6,FALSE),F1342=VLOOKUP(B1342,PARTIDOS!$A:$I,7,FALSE)),3,1),0),"")</f>
        <v/>
      </c>
    </row>
    <row r="1343" ht="20.1" customHeight="1">
      <c r="A1343" s="12" t="inlineStr">
        <is>
          <t>Jugador 19</t>
        </is>
      </c>
      <c r="B1343" s="8" t="inlineStr">
        <is>
          <t>M46</t>
        </is>
      </c>
      <c r="C1343" s="12" t="inlineStr">
        <is>
          <t>Hungría</t>
        </is>
      </c>
      <c r="D1343" s="12" t="inlineStr">
        <is>
          <t>Escocia</t>
        </is>
      </c>
      <c r="E1343" s="8" t="n"/>
      <c r="F1343" s="8" t="n"/>
      <c r="G1343" s="8">
        <f>IF(OR(ISBLANK(E1343),ISBLANK(F1343)),"",IF(E1343&gt;F1343,"Local",IF(E1343=F1343,"Empate","Visitante")))</f>
        <v/>
      </c>
      <c r="H1343" s="8">
        <f>IF(VLOOKUP(B1343,PARTIDOS!$A:$I,9,FALSE)="Cerrado",IF(G1343=VLOOKUP(B1343,PARTIDOS!$A:$I,8,FALSE),IF(AND(E1343=VLOOKUP(B1343,PARTIDOS!$A:$I,6,FALSE),F1343=VLOOKUP(B1343,PARTIDOS!$A:$I,7,FALSE)),3,1),0),"")</f>
        <v/>
      </c>
    </row>
    <row r="1344" ht="20.1" customHeight="1">
      <c r="A1344" s="12" t="inlineStr">
        <is>
          <t>Jugador 19</t>
        </is>
      </c>
      <c r="B1344" s="8" t="inlineStr">
        <is>
          <t>M47</t>
        </is>
      </c>
      <c r="C1344" s="12" t="inlineStr">
        <is>
          <t>Austria</t>
        </is>
      </c>
      <c r="D1344" s="12" t="inlineStr">
        <is>
          <t>Escocia</t>
        </is>
      </c>
      <c r="E1344" s="8" t="n"/>
      <c r="F1344" s="8" t="n"/>
      <c r="G1344" s="8">
        <f>IF(OR(ISBLANK(E1344),ISBLANK(F1344)),"",IF(E1344&gt;F1344,"Local",IF(E1344=F1344,"Empate","Visitante")))</f>
        <v/>
      </c>
      <c r="H1344" s="8">
        <f>IF(VLOOKUP(B1344,PARTIDOS!$A:$I,9,FALSE)="Cerrado",IF(G1344=VLOOKUP(B1344,PARTIDOS!$A:$I,8,FALSE),IF(AND(E1344=VLOOKUP(B1344,PARTIDOS!$A:$I,6,FALSE),F1344=VLOOKUP(B1344,PARTIDOS!$A:$I,7,FALSE)),3,1),0),"")</f>
        <v/>
      </c>
    </row>
    <row r="1345" ht="20.1" customHeight="1">
      <c r="A1345" s="12" t="inlineStr">
        <is>
          <t>Jugador 19</t>
        </is>
      </c>
      <c r="B1345" s="8" t="inlineStr">
        <is>
          <t>M48</t>
        </is>
      </c>
      <c r="C1345" s="12" t="inlineStr">
        <is>
          <t>Hungría</t>
        </is>
      </c>
      <c r="D1345" s="12" t="inlineStr">
        <is>
          <t>Turquía</t>
        </is>
      </c>
      <c r="E1345" s="8" t="n"/>
      <c r="F1345" s="8" t="n"/>
      <c r="G1345" s="8">
        <f>IF(OR(ISBLANK(E1345),ISBLANK(F1345)),"",IF(E1345&gt;F1345,"Local",IF(E1345=F1345,"Empate","Visitante")))</f>
        <v/>
      </c>
      <c r="H1345" s="8">
        <f>IF(VLOOKUP(B1345,PARTIDOS!$A:$I,9,FALSE)="Cerrado",IF(G1345=VLOOKUP(B1345,PARTIDOS!$A:$I,8,FALSE),IF(AND(E1345=VLOOKUP(B1345,PARTIDOS!$A:$I,6,FALSE),F1345=VLOOKUP(B1345,PARTIDOS!$A:$I,7,FALSE)),3,1),0),"")</f>
        <v/>
      </c>
    </row>
    <row r="1346" ht="20.1" customHeight="1">
      <c r="A1346" s="12" t="inlineStr">
        <is>
          <t>Jugador 19</t>
        </is>
      </c>
      <c r="B1346" s="8" t="inlineStr">
        <is>
          <t>M49</t>
        </is>
      </c>
      <c r="C1346" s="12" t="inlineStr">
        <is>
          <t>República Checa</t>
        </is>
      </c>
      <c r="D1346" s="12" t="inlineStr">
        <is>
          <t>Noruega</t>
        </is>
      </c>
      <c r="E1346" s="8" t="n"/>
      <c r="F1346" s="8" t="n"/>
      <c r="G1346" s="8">
        <f>IF(OR(ISBLANK(E1346),ISBLANK(F1346)),"",IF(E1346&gt;F1346,"Local",IF(E1346=F1346,"Empate","Visitante")))</f>
        <v/>
      </c>
      <c r="H1346" s="8">
        <f>IF(VLOOKUP(B1346,PARTIDOS!$A:$I,9,FALSE)="Cerrado",IF(G1346=VLOOKUP(B1346,PARTIDOS!$A:$I,8,FALSE),IF(AND(E1346=VLOOKUP(B1346,PARTIDOS!$A:$I,6,FALSE),F1346=VLOOKUP(B1346,PARTIDOS!$A:$I,7,FALSE)),3,1),0),"")</f>
        <v/>
      </c>
    </row>
    <row r="1347" ht="20.1" customHeight="1">
      <c r="A1347" s="12" t="inlineStr">
        <is>
          <t>Jugador 19</t>
        </is>
      </c>
      <c r="B1347" s="8" t="inlineStr">
        <is>
          <t>M50</t>
        </is>
      </c>
      <c r="C1347" s="12" t="inlineStr">
        <is>
          <t>Japón</t>
        </is>
      </c>
      <c r="D1347" s="12" t="inlineStr">
        <is>
          <t>Irán</t>
        </is>
      </c>
      <c r="E1347" s="8" t="n"/>
      <c r="F1347" s="8" t="n"/>
      <c r="G1347" s="8">
        <f>IF(OR(ISBLANK(E1347),ISBLANK(F1347)),"",IF(E1347&gt;F1347,"Local",IF(E1347=F1347,"Empate","Visitante")))</f>
        <v/>
      </c>
      <c r="H1347" s="8">
        <f>IF(VLOOKUP(B1347,PARTIDOS!$A:$I,9,FALSE)="Cerrado",IF(G1347=VLOOKUP(B1347,PARTIDOS!$A:$I,8,FALSE),IF(AND(E1347=VLOOKUP(B1347,PARTIDOS!$A:$I,6,FALSE),F1347=VLOOKUP(B1347,PARTIDOS!$A:$I,7,FALSE)),3,1),0),"")</f>
        <v/>
      </c>
    </row>
    <row r="1348" ht="20.1" customHeight="1">
      <c r="A1348" s="12" t="inlineStr">
        <is>
          <t>Jugador 19</t>
        </is>
      </c>
      <c r="B1348" s="8" t="inlineStr">
        <is>
          <t>M51</t>
        </is>
      </c>
      <c r="C1348" s="12" t="inlineStr">
        <is>
          <t>República Checa</t>
        </is>
      </c>
      <c r="D1348" s="12" t="inlineStr">
        <is>
          <t>Japón</t>
        </is>
      </c>
      <c r="E1348" s="8" t="n"/>
      <c r="F1348" s="8" t="n"/>
      <c r="G1348" s="8">
        <f>IF(OR(ISBLANK(E1348),ISBLANK(F1348)),"",IF(E1348&gt;F1348,"Local",IF(E1348=F1348,"Empate","Visitante")))</f>
        <v/>
      </c>
      <c r="H1348" s="8">
        <f>IF(VLOOKUP(B1348,PARTIDOS!$A:$I,9,FALSE)="Cerrado",IF(G1348=VLOOKUP(B1348,PARTIDOS!$A:$I,8,FALSE),IF(AND(E1348=VLOOKUP(B1348,PARTIDOS!$A:$I,6,FALSE),F1348=VLOOKUP(B1348,PARTIDOS!$A:$I,7,FALSE)),3,1),0),"")</f>
        <v/>
      </c>
    </row>
    <row r="1349" ht="20.1" customHeight="1">
      <c r="A1349" s="12" t="inlineStr">
        <is>
          <t>Jugador 19</t>
        </is>
      </c>
      <c r="B1349" s="8" t="inlineStr">
        <is>
          <t>M52</t>
        </is>
      </c>
      <c r="C1349" s="12" t="inlineStr">
        <is>
          <t>Noruega</t>
        </is>
      </c>
      <c r="D1349" s="12" t="inlineStr">
        <is>
          <t>Irán</t>
        </is>
      </c>
      <c r="E1349" s="8" t="n"/>
      <c r="F1349" s="8" t="n"/>
      <c r="G1349" s="8">
        <f>IF(OR(ISBLANK(E1349),ISBLANK(F1349)),"",IF(E1349&gt;F1349,"Local",IF(E1349=F1349,"Empate","Visitante")))</f>
        <v/>
      </c>
      <c r="H1349" s="8">
        <f>IF(VLOOKUP(B1349,PARTIDOS!$A:$I,9,FALSE)="Cerrado",IF(G1349=VLOOKUP(B1349,PARTIDOS!$A:$I,8,FALSE),IF(AND(E1349=VLOOKUP(B1349,PARTIDOS!$A:$I,6,FALSE),F1349=VLOOKUP(B1349,PARTIDOS!$A:$I,7,FALSE)),3,1),0),"")</f>
        <v/>
      </c>
    </row>
    <row r="1350" ht="20.1" customHeight="1">
      <c r="A1350" s="12" t="inlineStr">
        <is>
          <t>Jugador 19</t>
        </is>
      </c>
      <c r="B1350" s="8" t="inlineStr">
        <is>
          <t>M53</t>
        </is>
      </c>
      <c r="C1350" s="12" t="inlineStr">
        <is>
          <t>República Checa</t>
        </is>
      </c>
      <c r="D1350" s="12" t="inlineStr">
        <is>
          <t>Irán</t>
        </is>
      </c>
      <c r="E1350" s="8" t="n"/>
      <c r="F1350" s="8" t="n"/>
      <c r="G1350" s="8">
        <f>IF(OR(ISBLANK(E1350),ISBLANK(F1350)),"",IF(E1350&gt;F1350,"Local",IF(E1350=F1350,"Empate","Visitante")))</f>
        <v/>
      </c>
      <c r="H1350" s="8">
        <f>IF(VLOOKUP(B1350,PARTIDOS!$A:$I,9,FALSE)="Cerrado",IF(G1350=VLOOKUP(B1350,PARTIDOS!$A:$I,8,FALSE),IF(AND(E1350=VLOOKUP(B1350,PARTIDOS!$A:$I,6,FALSE),F1350=VLOOKUP(B1350,PARTIDOS!$A:$I,7,FALSE)),3,1),0),"")</f>
        <v/>
      </c>
    </row>
    <row r="1351" ht="20.1" customHeight="1">
      <c r="A1351" s="12" t="inlineStr">
        <is>
          <t>Jugador 19</t>
        </is>
      </c>
      <c r="B1351" s="8" t="inlineStr">
        <is>
          <t>M54</t>
        </is>
      </c>
      <c r="C1351" s="12" t="inlineStr">
        <is>
          <t>Noruega</t>
        </is>
      </c>
      <c r="D1351" s="12" t="inlineStr">
        <is>
          <t>Japón</t>
        </is>
      </c>
      <c r="E1351" s="8" t="n"/>
      <c r="F1351" s="8" t="n"/>
      <c r="G1351" s="8">
        <f>IF(OR(ISBLANK(E1351),ISBLANK(F1351)),"",IF(E1351&gt;F1351,"Local",IF(E1351=F1351,"Empate","Visitante")))</f>
        <v/>
      </c>
      <c r="H1351" s="8">
        <f>IF(VLOOKUP(B1351,PARTIDOS!$A:$I,9,FALSE)="Cerrado",IF(G1351=VLOOKUP(B1351,PARTIDOS!$A:$I,8,FALSE),IF(AND(E1351=VLOOKUP(B1351,PARTIDOS!$A:$I,6,FALSE),F1351=VLOOKUP(B1351,PARTIDOS!$A:$I,7,FALSE)),3,1),0),"")</f>
        <v/>
      </c>
    </row>
    <row r="1352" ht="20.1" customHeight="1">
      <c r="A1352" s="12" t="inlineStr">
        <is>
          <t>Jugador 19</t>
        </is>
      </c>
      <c r="B1352" s="8" t="inlineStr">
        <is>
          <t>M55</t>
        </is>
      </c>
      <c r="C1352" s="12" t="inlineStr">
        <is>
          <t>Corea del Sur</t>
        </is>
      </c>
      <c r="D1352" s="12" t="inlineStr">
        <is>
          <t>Australia</t>
        </is>
      </c>
      <c r="E1352" s="8" t="n"/>
      <c r="F1352" s="8" t="n"/>
      <c r="G1352" s="8">
        <f>IF(OR(ISBLANK(E1352),ISBLANK(F1352)),"",IF(E1352&gt;F1352,"Local",IF(E1352=F1352,"Empate","Visitante")))</f>
        <v/>
      </c>
      <c r="H1352" s="8">
        <f>IF(VLOOKUP(B1352,PARTIDOS!$A:$I,9,FALSE)="Cerrado",IF(G1352=VLOOKUP(B1352,PARTIDOS!$A:$I,8,FALSE),IF(AND(E1352=VLOOKUP(B1352,PARTIDOS!$A:$I,6,FALSE),F1352=VLOOKUP(B1352,PARTIDOS!$A:$I,7,FALSE)),3,1),0),"")</f>
        <v/>
      </c>
    </row>
    <row r="1353" ht="20.1" customHeight="1">
      <c r="A1353" s="12" t="inlineStr">
        <is>
          <t>Jugador 19</t>
        </is>
      </c>
      <c r="B1353" s="8" t="inlineStr">
        <is>
          <t>M56</t>
        </is>
      </c>
      <c r="C1353" s="12" t="inlineStr">
        <is>
          <t>Marruecos</t>
        </is>
      </c>
      <c r="D1353" s="12" t="inlineStr">
        <is>
          <t>Senegal</t>
        </is>
      </c>
      <c r="E1353" s="8" t="n"/>
      <c r="F1353" s="8" t="n"/>
      <c r="G1353" s="8">
        <f>IF(OR(ISBLANK(E1353),ISBLANK(F1353)),"",IF(E1353&gt;F1353,"Local",IF(E1353=F1353,"Empate","Visitante")))</f>
        <v/>
      </c>
      <c r="H1353" s="8">
        <f>IF(VLOOKUP(B1353,PARTIDOS!$A:$I,9,FALSE)="Cerrado",IF(G1353=VLOOKUP(B1353,PARTIDOS!$A:$I,8,FALSE),IF(AND(E1353=VLOOKUP(B1353,PARTIDOS!$A:$I,6,FALSE),F1353=VLOOKUP(B1353,PARTIDOS!$A:$I,7,FALSE)),3,1),0),"")</f>
        <v/>
      </c>
    </row>
    <row r="1354" ht="20.1" customHeight="1">
      <c r="A1354" s="12" t="inlineStr">
        <is>
          <t>Jugador 19</t>
        </is>
      </c>
      <c r="B1354" s="8" t="inlineStr">
        <is>
          <t>M57</t>
        </is>
      </c>
      <c r="C1354" s="12" t="inlineStr">
        <is>
          <t>Corea del Sur</t>
        </is>
      </c>
      <c r="D1354" s="12" t="inlineStr">
        <is>
          <t>Marruecos</t>
        </is>
      </c>
      <c r="E1354" s="8" t="n"/>
      <c r="F1354" s="8" t="n"/>
      <c r="G1354" s="8">
        <f>IF(OR(ISBLANK(E1354),ISBLANK(F1354)),"",IF(E1354&gt;F1354,"Local",IF(E1354=F1354,"Empate","Visitante")))</f>
        <v/>
      </c>
      <c r="H1354" s="8">
        <f>IF(VLOOKUP(B1354,PARTIDOS!$A:$I,9,FALSE)="Cerrado",IF(G1354=VLOOKUP(B1354,PARTIDOS!$A:$I,8,FALSE),IF(AND(E1354=VLOOKUP(B1354,PARTIDOS!$A:$I,6,FALSE),F1354=VLOOKUP(B1354,PARTIDOS!$A:$I,7,FALSE)),3,1),0),"")</f>
        <v/>
      </c>
    </row>
    <row r="1355" ht="20.1" customHeight="1">
      <c r="A1355" s="12" t="inlineStr">
        <is>
          <t>Jugador 19</t>
        </is>
      </c>
      <c r="B1355" s="8" t="inlineStr">
        <is>
          <t>M58</t>
        </is>
      </c>
      <c r="C1355" s="12" t="inlineStr">
        <is>
          <t>Australia</t>
        </is>
      </c>
      <c r="D1355" s="12" t="inlineStr">
        <is>
          <t>Senegal</t>
        </is>
      </c>
      <c r="E1355" s="8" t="n"/>
      <c r="F1355" s="8" t="n"/>
      <c r="G1355" s="8">
        <f>IF(OR(ISBLANK(E1355),ISBLANK(F1355)),"",IF(E1355&gt;F1355,"Local",IF(E1355=F1355,"Empate","Visitante")))</f>
        <v/>
      </c>
      <c r="H1355" s="8">
        <f>IF(VLOOKUP(B1355,PARTIDOS!$A:$I,9,FALSE)="Cerrado",IF(G1355=VLOOKUP(B1355,PARTIDOS!$A:$I,8,FALSE),IF(AND(E1355=VLOOKUP(B1355,PARTIDOS!$A:$I,6,FALSE),F1355=VLOOKUP(B1355,PARTIDOS!$A:$I,7,FALSE)),3,1),0),"")</f>
        <v/>
      </c>
    </row>
    <row r="1356" ht="20.1" customHeight="1">
      <c r="A1356" s="12" t="inlineStr">
        <is>
          <t>Jugador 19</t>
        </is>
      </c>
      <c r="B1356" s="8" t="inlineStr">
        <is>
          <t>M59</t>
        </is>
      </c>
      <c r="C1356" s="12" t="inlineStr">
        <is>
          <t>Corea del Sur</t>
        </is>
      </c>
      <c r="D1356" s="12" t="inlineStr">
        <is>
          <t>Senegal</t>
        </is>
      </c>
      <c r="E1356" s="8" t="n"/>
      <c r="F1356" s="8" t="n"/>
      <c r="G1356" s="8">
        <f>IF(OR(ISBLANK(E1356),ISBLANK(F1356)),"",IF(E1356&gt;F1356,"Local",IF(E1356=F1356,"Empate","Visitante")))</f>
        <v/>
      </c>
      <c r="H1356" s="8">
        <f>IF(VLOOKUP(B1356,PARTIDOS!$A:$I,9,FALSE)="Cerrado",IF(G1356=VLOOKUP(B1356,PARTIDOS!$A:$I,8,FALSE),IF(AND(E1356=VLOOKUP(B1356,PARTIDOS!$A:$I,6,FALSE),F1356=VLOOKUP(B1356,PARTIDOS!$A:$I,7,FALSE)),3,1),0),"")</f>
        <v/>
      </c>
    </row>
    <row r="1357" ht="20.1" customHeight="1">
      <c r="A1357" s="12" t="inlineStr">
        <is>
          <t>Jugador 19</t>
        </is>
      </c>
      <c r="B1357" s="8" t="inlineStr">
        <is>
          <t>M60</t>
        </is>
      </c>
      <c r="C1357" s="12" t="inlineStr">
        <is>
          <t>Australia</t>
        </is>
      </c>
      <c r="D1357" s="12" t="inlineStr">
        <is>
          <t>Marruecos</t>
        </is>
      </c>
      <c r="E1357" s="8" t="n"/>
      <c r="F1357" s="8" t="n"/>
      <c r="G1357" s="8">
        <f>IF(OR(ISBLANK(E1357),ISBLANK(F1357)),"",IF(E1357&gt;F1357,"Local",IF(E1357=F1357,"Empate","Visitante")))</f>
        <v/>
      </c>
      <c r="H1357" s="8">
        <f>IF(VLOOKUP(B1357,PARTIDOS!$A:$I,9,FALSE)="Cerrado",IF(G1357=VLOOKUP(B1357,PARTIDOS!$A:$I,8,FALSE),IF(AND(E1357=VLOOKUP(B1357,PARTIDOS!$A:$I,6,FALSE),F1357=VLOOKUP(B1357,PARTIDOS!$A:$I,7,FALSE)),3,1),0),"")</f>
        <v/>
      </c>
    </row>
    <row r="1358" ht="20.1" customHeight="1">
      <c r="A1358" s="12" t="inlineStr">
        <is>
          <t>Jugador 19</t>
        </is>
      </c>
      <c r="B1358" s="8" t="inlineStr">
        <is>
          <t>M61</t>
        </is>
      </c>
      <c r="C1358" s="12" t="inlineStr">
        <is>
          <t>Túnez</t>
        </is>
      </c>
      <c r="D1358" s="12" t="inlineStr">
        <is>
          <t>Nigeria</t>
        </is>
      </c>
      <c r="E1358" s="8" t="n"/>
      <c r="F1358" s="8" t="n"/>
      <c r="G1358" s="8">
        <f>IF(OR(ISBLANK(E1358),ISBLANK(F1358)),"",IF(E1358&gt;F1358,"Local",IF(E1358=F1358,"Empate","Visitante")))</f>
        <v/>
      </c>
      <c r="H1358" s="8">
        <f>IF(VLOOKUP(B1358,PARTIDOS!$A:$I,9,FALSE)="Cerrado",IF(G1358=VLOOKUP(B1358,PARTIDOS!$A:$I,8,FALSE),IF(AND(E1358=VLOOKUP(B1358,PARTIDOS!$A:$I,6,FALSE),F1358=VLOOKUP(B1358,PARTIDOS!$A:$I,7,FALSE)),3,1),0),"")</f>
        <v/>
      </c>
    </row>
    <row r="1359" ht="20.1" customHeight="1">
      <c r="A1359" s="12" t="inlineStr">
        <is>
          <t>Jugador 19</t>
        </is>
      </c>
      <c r="B1359" s="8" t="inlineStr">
        <is>
          <t>M62</t>
        </is>
      </c>
      <c r="C1359" s="12" t="inlineStr">
        <is>
          <t>Camerún</t>
        </is>
      </c>
      <c r="D1359" s="12" t="inlineStr">
        <is>
          <t>Egipto</t>
        </is>
      </c>
      <c r="E1359" s="8" t="n"/>
      <c r="F1359" s="8" t="n"/>
      <c r="G1359" s="8">
        <f>IF(OR(ISBLANK(E1359),ISBLANK(F1359)),"",IF(E1359&gt;F1359,"Local",IF(E1359=F1359,"Empate","Visitante")))</f>
        <v/>
      </c>
      <c r="H1359" s="8">
        <f>IF(VLOOKUP(B1359,PARTIDOS!$A:$I,9,FALSE)="Cerrado",IF(G1359=VLOOKUP(B1359,PARTIDOS!$A:$I,8,FALSE),IF(AND(E1359=VLOOKUP(B1359,PARTIDOS!$A:$I,6,FALSE),F1359=VLOOKUP(B1359,PARTIDOS!$A:$I,7,FALSE)),3,1),0),"")</f>
        <v/>
      </c>
    </row>
    <row r="1360" ht="20.1" customHeight="1">
      <c r="A1360" s="12" t="inlineStr">
        <is>
          <t>Jugador 19</t>
        </is>
      </c>
      <c r="B1360" s="8" t="inlineStr">
        <is>
          <t>M63</t>
        </is>
      </c>
      <c r="C1360" s="12" t="inlineStr">
        <is>
          <t>Túnez</t>
        </is>
      </c>
      <c r="D1360" s="12" t="inlineStr">
        <is>
          <t>Camerún</t>
        </is>
      </c>
      <c r="E1360" s="8" t="n"/>
      <c r="F1360" s="8" t="n"/>
      <c r="G1360" s="8">
        <f>IF(OR(ISBLANK(E1360),ISBLANK(F1360)),"",IF(E1360&gt;F1360,"Local",IF(E1360=F1360,"Empate","Visitante")))</f>
        <v/>
      </c>
      <c r="H1360" s="8">
        <f>IF(VLOOKUP(B1360,PARTIDOS!$A:$I,9,FALSE)="Cerrado",IF(G1360=VLOOKUP(B1360,PARTIDOS!$A:$I,8,FALSE),IF(AND(E1360=VLOOKUP(B1360,PARTIDOS!$A:$I,6,FALSE),F1360=VLOOKUP(B1360,PARTIDOS!$A:$I,7,FALSE)),3,1),0),"")</f>
        <v/>
      </c>
    </row>
    <row r="1361" ht="20.1" customHeight="1">
      <c r="A1361" s="12" t="inlineStr">
        <is>
          <t>Jugador 19</t>
        </is>
      </c>
      <c r="B1361" s="8" t="inlineStr">
        <is>
          <t>M64</t>
        </is>
      </c>
      <c r="C1361" s="12" t="inlineStr">
        <is>
          <t>Nigeria</t>
        </is>
      </c>
      <c r="D1361" s="12" t="inlineStr">
        <is>
          <t>Egipto</t>
        </is>
      </c>
      <c r="E1361" s="8" t="n"/>
      <c r="F1361" s="8" t="n"/>
      <c r="G1361" s="8">
        <f>IF(OR(ISBLANK(E1361),ISBLANK(F1361)),"",IF(E1361&gt;F1361,"Local",IF(E1361=F1361,"Empate","Visitante")))</f>
        <v/>
      </c>
      <c r="H1361" s="8">
        <f>IF(VLOOKUP(B1361,PARTIDOS!$A:$I,9,FALSE)="Cerrado",IF(G1361=VLOOKUP(B1361,PARTIDOS!$A:$I,8,FALSE),IF(AND(E1361=VLOOKUP(B1361,PARTIDOS!$A:$I,6,FALSE),F1361=VLOOKUP(B1361,PARTIDOS!$A:$I,7,FALSE)),3,1),0),"")</f>
        <v/>
      </c>
    </row>
    <row r="1362" ht="20.1" customHeight="1">
      <c r="A1362" s="12" t="inlineStr">
        <is>
          <t>Jugador 19</t>
        </is>
      </c>
      <c r="B1362" s="8" t="inlineStr">
        <is>
          <t>M65</t>
        </is>
      </c>
      <c r="C1362" s="12" t="inlineStr">
        <is>
          <t>Túnez</t>
        </is>
      </c>
      <c r="D1362" s="12" t="inlineStr">
        <is>
          <t>Egipto</t>
        </is>
      </c>
      <c r="E1362" s="8" t="n"/>
      <c r="F1362" s="8" t="n"/>
      <c r="G1362" s="8">
        <f>IF(OR(ISBLANK(E1362),ISBLANK(F1362)),"",IF(E1362&gt;F1362,"Local",IF(E1362=F1362,"Empate","Visitante")))</f>
        <v/>
      </c>
      <c r="H1362" s="8">
        <f>IF(VLOOKUP(B1362,PARTIDOS!$A:$I,9,FALSE)="Cerrado",IF(G1362=VLOOKUP(B1362,PARTIDOS!$A:$I,8,FALSE),IF(AND(E1362=VLOOKUP(B1362,PARTIDOS!$A:$I,6,FALSE),F1362=VLOOKUP(B1362,PARTIDOS!$A:$I,7,FALSE)),3,1),0),"")</f>
        <v/>
      </c>
    </row>
    <row r="1363" ht="20.1" customHeight="1">
      <c r="A1363" s="12" t="inlineStr">
        <is>
          <t>Jugador 19</t>
        </is>
      </c>
      <c r="B1363" s="8" t="inlineStr">
        <is>
          <t>M66</t>
        </is>
      </c>
      <c r="C1363" s="12" t="inlineStr">
        <is>
          <t>Nigeria</t>
        </is>
      </c>
      <c r="D1363" s="12" t="inlineStr">
        <is>
          <t>Camerún</t>
        </is>
      </c>
      <c r="E1363" s="8" t="n"/>
      <c r="F1363" s="8" t="n"/>
      <c r="G1363" s="8">
        <f>IF(OR(ISBLANK(E1363),ISBLANK(F1363)),"",IF(E1363&gt;F1363,"Local",IF(E1363=F1363,"Empate","Visitante")))</f>
        <v/>
      </c>
      <c r="H1363" s="8">
        <f>IF(VLOOKUP(B1363,PARTIDOS!$A:$I,9,FALSE)="Cerrado",IF(G1363=VLOOKUP(B1363,PARTIDOS!$A:$I,8,FALSE),IF(AND(E1363=VLOOKUP(B1363,PARTIDOS!$A:$I,6,FALSE),F1363=VLOOKUP(B1363,PARTIDOS!$A:$I,7,FALSE)),3,1),0),"")</f>
        <v/>
      </c>
    </row>
    <row r="1364" ht="20.1" customHeight="1">
      <c r="A1364" s="12" t="inlineStr">
        <is>
          <t>Jugador 19</t>
        </is>
      </c>
      <c r="B1364" s="8" t="inlineStr">
        <is>
          <t>M67</t>
        </is>
      </c>
      <c r="C1364" s="12" t="inlineStr">
        <is>
          <t>Costa de Marfil</t>
        </is>
      </c>
      <c r="D1364" s="12" t="inlineStr">
        <is>
          <t>Sudáfrica</t>
        </is>
      </c>
      <c r="E1364" s="8" t="n"/>
      <c r="F1364" s="8" t="n"/>
      <c r="G1364" s="8">
        <f>IF(OR(ISBLANK(E1364),ISBLANK(F1364)),"",IF(E1364&gt;F1364,"Local",IF(E1364=F1364,"Empate","Visitante")))</f>
        <v/>
      </c>
      <c r="H1364" s="8">
        <f>IF(VLOOKUP(B1364,PARTIDOS!$A:$I,9,FALSE)="Cerrado",IF(G1364=VLOOKUP(B1364,PARTIDOS!$A:$I,8,FALSE),IF(AND(E1364=VLOOKUP(B1364,PARTIDOS!$A:$I,6,FALSE),F1364=VLOOKUP(B1364,PARTIDOS!$A:$I,7,FALSE)),3,1),0),"")</f>
        <v/>
      </c>
    </row>
    <row r="1365" ht="20.1" customHeight="1">
      <c r="A1365" s="12" t="inlineStr">
        <is>
          <t>Jugador 19</t>
        </is>
      </c>
      <c r="B1365" s="8" t="inlineStr">
        <is>
          <t>M68</t>
        </is>
      </c>
      <c r="C1365" s="12" t="inlineStr">
        <is>
          <t>Panáma</t>
        </is>
      </c>
      <c r="D1365" s="12" t="inlineStr">
        <is>
          <t>Nueva Zelanda</t>
        </is>
      </c>
      <c r="E1365" s="8" t="n"/>
      <c r="F1365" s="8" t="n"/>
      <c r="G1365" s="8">
        <f>IF(OR(ISBLANK(E1365),ISBLANK(F1365)),"",IF(E1365&gt;F1365,"Local",IF(E1365=F1365,"Empate","Visitante")))</f>
        <v/>
      </c>
      <c r="H1365" s="8">
        <f>IF(VLOOKUP(B1365,PARTIDOS!$A:$I,9,FALSE)="Cerrado",IF(G1365=VLOOKUP(B1365,PARTIDOS!$A:$I,8,FALSE),IF(AND(E1365=VLOOKUP(B1365,PARTIDOS!$A:$I,6,FALSE),F1365=VLOOKUP(B1365,PARTIDOS!$A:$I,7,FALSE)),3,1),0),"")</f>
        <v/>
      </c>
    </row>
    <row r="1366" ht="20.1" customHeight="1">
      <c r="A1366" s="12" t="inlineStr">
        <is>
          <t>Jugador 19</t>
        </is>
      </c>
      <c r="B1366" s="8" t="inlineStr">
        <is>
          <t>M69</t>
        </is>
      </c>
      <c r="C1366" s="12" t="inlineStr">
        <is>
          <t>Costa de Marfil</t>
        </is>
      </c>
      <c r="D1366" s="12" t="inlineStr">
        <is>
          <t>Panáma</t>
        </is>
      </c>
      <c r="E1366" s="8" t="n"/>
      <c r="F1366" s="8" t="n"/>
      <c r="G1366" s="8">
        <f>IF(OR(ISBLANK(E1366),ISBLANK(F1366)),"",IF(E1366&gt;F1366,"Local",IF(E1366=F1366,"Empate","Visitante")))</f>
        <v/>
      </c>
      <c r="H1366" s="8">
        <f>IF(VLOOKUP(B1366,PARTIDOS!$A:$I,9,FALSE)="Cerrado",IF(G1366=VLOOKUP(B1366,PARTIDOS!$A:$I,8,FALSE),IF(AND(E1366=VLOOKUP(B1366,PARTIDOS!$A:$I,6,FALSE),F1366=VLOOKUP(B1366,PARTIDOS!$A:$I,7,FALSE)),3,1),0),"")</f>
        <v/>
      </c>
    </row>
    <row r="1367" ht="20.1" customHeight="1">
      <c r="A1367" s="12" t="inlineStr">
        <is>
          <t>Jugador 19</t>
        </is>
      </c>
      <c r="B1367" s="8" t="inlineStr">
        <is>
          <t>M70</t>
        </is>
      </c>
      <c r="C1367" s="12" t="inlineStr">
        <is>
          <t>Sudáfrica</t>
        </is>
      </c>
      <c r="D1367" s="12" t="inlineStr">
        <is>
          <t>Nueva Zelanda</t>
        </is>
      </c>
      <c r="E1367" s="8" t="n"/>
      <c r="F1367" s="8" t="n"/>
      <c r="G1367" s="8">
        <f>IF(OR(ISBLANK(E1367),ISBLANK(F1367)),"",IF(E1367&gt;F1367,"Local",IF(E1367=F1367,"Empate","Visitante")))</f>
        <v/>
      </c>
      <c r="H1367" s="8">
        <f>IF(VLOOKUP(B1367,PARTIDOS!$A:$I,9,FALSE)="Cerrado",IF(G1367=VLOOKUP(B1367,PARTIDOS!$A:$I,8,FALSE),IF(AND(E1367=VLOOKUP(B1367,PARTIDOS!$A:$I,6,FALSE),F1367=VLOOKUP(B1367,PARTIDOS!$A:$I,7,FALSE)),3,1),0),"")</f>
        <v/>
      </c>
    </row>
    <row r="1368" ht="20.1" customHeight="1">
      <c r="A1368" s="12" t="inlineStr">
        <is>
          <t>Jugador 19</t>
        </is>
      </c>
      <c r="B1368" s="8" t="inlineStr">
        <is>
          <t>M71</t>
        </is>
      </c>
      <c r="C1368" s="12" t="inlineStr">
        <is>
          <t>Costa de Marfil</t>
        </is>
      </c>
      <c r="D1368" s="12" t="inlineStr">
        <is>
          <t>Nueva Zelanda</t>
        </is>
      </c>
      <c r="E1368" s="8" t="n"/>
      <c r="F1368" s="8" t="n"/>
      <c r="G1368" s="8">
        <f>IF(OR(ISBLANK(E1368),ISBLANK(F1368)),"",IF(E1368&gt;F1368,"Local",IF(E1368=F1368,"Empate","Visitante")))</f>
        <v/>
      </c>
      <c r="H1368" s="8">
        <f>IF(VLOOKUP(B1368,PARTIDOS!$A:$I,9,FALSE)="Cerrado",IF(G1368=VLOOKUP(B1368,PARTIDOS!$A:$I,8,FALSE),IF(AND(E1368=VLOOKUP(B1368,PARTIDOS!$A:$I,6,FALSE),F1368=VLOOKUP(B1368,PARTIDOS!$A:$I,7,FALSE)),3,1),0),"")</f>
        <v/>
      </c>
    </row>
    <row r="1369" ht="20.1" customHeight="1">
      <c r="A1369" s="12" t="inlineStr">
        <is>
          <t>Jugador 19</t>
        </is>
      </c>
      <c r="B1369" s="8" t="inlineStr">
        <is>
          <t>M72</t>
        </is>
      </c>
      <c r="C1369" s="12" t="inlineStr">
        <is>
          <t>Sudáfrica</t>
        </is>
      </c>
      <c r="D1369" s="12" t="inlineStr">
        <is>
          <t>Panáma</t>
        </is>
      </c>
      <c r="E1369" s="8" t="n"/>
      <c r="F1369" s="8" t="n"/>
      <c r="G1369" s="8">
        <f>IF(OR(ISBLANK(E1369),ISBLANK(F1369)),"",IF(E1369&gt;F1369,"Local",IF(E1369=F1369,"Empate","Visitante")))</f>
        <v/>
      </c>
      <c r="H1369" s="8">
        <f>IF(VLOOKUP(B1369,PARTIDOS!$A:$I,9,FALSE)="Cerrado",IF(G1369=VLOOKUP(B1369,PARTIDOS!$A:$I,8,FALSE),IF(AND(E1369=VLOOKUP(B1369,PARTIDOS!$A:$I,6,FALSE),F1369=VLOOKUP(B1369,PARTIDOS!$A:$I,7,FALSE)),3,1),0),"")</f>
        <v/>
      </c>
    </row>
    <row r="1370" ht="20.1" customHeight="1">
      <c r="A1370" s="12" t="inlineStr">
        <is>
          <t>Jugador 20</t>
        </is>
      </c>
      <c r="B1370" s="8" t="inlineStr">
        <is>
          <t>M01</t>
        </is>
      </c>
      <c r="C1370" s="12" t="inlineStr">
        <is>
          <t>México</t>
        </is>
      </c>
      <c r="D1370" s="12" t="inlineStr">
        <is>
          <t>EEUU</t>
        </is>
      </c>
      <c r="E1370" s="8" t="n"/>
      <c r="F1370" s="8" t="n"/>
      <c r="G1370" s="8">
        <f>IF(OR(ISBLANK(E1370),ISBLANK(F1370)),"",IF(E1370&gt;F1370,"Local",IF(E1370=F1370,"Empate","Visitante")))</f>
        <v/>
      </c>
      <c r="H1370" s="8">
        <f>IF(VLOOKUP(B1370,PARTIDOS!$A:$I,9,FALSE)="Cerrado",IF(G1370=VLOOKUP(B1370,PARTIDOS!$A:$I,8,FALSE),IF(AND(E1370=VLOOKUP(B1370,PARTIDOS!$A:$I,6,FALSE),F1370=VLOOKUP(B1370,PARTIDOS!$A:$I,7,FALSE)),3,1),0),"")</f>
        <v/>
      </c>
    </row>
    <row r="1371" ht="20.1" customHeight="1">
      <c r="A1371" s="12" t="inlineStr">
        <is>
          <t>Jugador 20</t>
        </is>
      </c>
      <c r="B1371" s="8" t="inlineStr">
        <is>
          <t>M02</t>
        </is>
      </c>
      <c r="C1371" s="12" t="inlineStr">
        <is>
          <t>Canadá</t>
        </is>
      </c>
      <c r="D1371" s="12" t="inlineStr">
        <is>
          <t>Jamaica</t>
        </is>
      </c>
      <c r="E1371" s="8" t="n"/>
      <c r="F1371" s="8" t="n"/>
      <c r="G1371" s="8">
        <f>IF(OR(ISBLANK(E1371),ISBLANK(F1371)),"",IF(E1371&gt;F1371,"Local",IF(E1371=F1371,"Empate","Visitante")))</f>
        <v/>
      </c>
      <c r="H1371" s="8">
        <f>IF(VLOOKUP(B1371,PARTIDOS!$A:$I,9,FALSE)="Cerrado",IF(G1371=VLOOKUP(B1371,PARTIDOS!$A:$I,8,FALSE),IF(AND(E1371=VLOOKUP(B1371,PARTIDOS!$A:$I,6,FALSE),F1371=VLOOKUP(B1371,PARTIDOS!$A:$I,7,FALSE)),3,1),0),"")</f>
        <v/>
      </c>
    </row>
    <row r="1372" ht="20.1" customHeight="1">
      <c r="A1372" s="12" t="inlineStr">
        <is>
          <t>Jugador 20</t>
        </is>
      </c>
      <c r="B1372" s="8" t="inlineStr">
        <is>
          <t>M03</t>
        </is>
      </c>
      <c r="C1372" s="12" t="inlineStr">
        <is>
          <t>México</t>
        </is>
      </c>
      <c r="D1372" s="12" t="inlineStr">
        <is>
          <t>Canadá</t>
        </is>
      </c>
      <c r="E1372" s="8" t="n"/>
      <c r="F1372" s="8" t="n"/>
      <c r="G1372" s="8">
        <f>IF(OR(ISBLANK(E1372),ISBLANK(F1372)),"",IF(E1372&gt;F1372,"Local",IF(E1372=F1372,"Empate","Visitante")))</f>
        <v/>
      </c>
      <c r="H1372" s="8">
        <f>IF(VLOOKUP(B1372,PARTIDOS!$A:$I,9,FALSE)="Cerrado",IF(G1372=VLOOKUP(B1372,PARTIDOS!$A:$I,8,FALSE),IF(AND(E1372=VLOOKUP(B1372,PARTIDOS!$A:$I,6,FALSE),F1372=VLOOKUP(B1372,PARTIDOS!$A:$I,7,FALSE)),3,1),0),"")</f>
        <v/>
      </c>
    </row>
    <row r="1373" ht="20.1" customHeight="1">
      <c r="A1373" s="12" t="inlineStr">
        <is>
          <t>Jugador 20</t>
        </is>
      </c>
      <c r="B1373" s="8" t="inlineStr">
        <is>
          <t>M04</t>
        </is>
      </c>
      <c r="C1373" s="12" t="inlineStr">
        <is>
          <t>EEUU</t>
        </is>
      </c>
      <c r="D1373" s="12" t="inlineStr">
        <is>
          <t>Jamaica</t>
        </is>
      </c>
      <c r="E1373" s="8" t="n"/>
      <c r="F1373" s="8" t="n"/>
      <c r="G1373" s="8">
        <f>IF(OR(ISBLANK(E1373),ISBLANK(F1373)),"",IF(E1373&gt;F1373,"Local",IF(E1373=F1373,"Empate","Visitante")))</f>
        <v/>
      </c>
      <c r="H1373" s="8">
        <f>IF(VLOOKUP(B1373,PARTIDOS!$A:$I,9,FALSE)="Cerrado",IF(G1373=VLOOKUP(B1373,PARTIDOS!$A:$I,8,FALSE),IF(AND(E1373=VLOOKUP(B1373,PARTIDOS!$A:$I,6,FALSE),F1373=VLOOKUP(B1373,PARTIDOS!$A:$I,7,FALSE)),3,1),0),"")</f>
        <v/>
      </c>
    </row>
    <row r="1374" ht="20.1" customHeight="1">
      <c r="A1374" s="12" t="inlineStr">
        <is>
          <t>Jugador 20</t>
        </is>
      </c>
      <c r="B1374" s="8" t="inlineStr">
        <is>
          <t>M05</t>
        </is>
      </c>
      <c r="C1374" s="12" t="inlineStr">
        <is>
          <t>México</t>
        </is>
      </c>
      <c r="D1374" s="12" t="inlineStr">
        <is>
          <t>Jamaica</t>
        </is>
      </c>
      <c r="E1374" s="8" t="n"/>
      <c r="F1374" s="8" t="n"/>
      <c r="G1374" s="8">
        <f>IF(OR(ISBLANK(E1374),ISBLANK(F1374)),"",IF(E1374&gt;F1374,"Local",IF(E1374=F1374,"Empate","Visitante")))</f>
        <v/>
      </c>
      <c r="H1374" s="8">
        <f>IF(VLOOKUP(B1374,PARTIDOS!$A:$I,9,FALSE)="Cerrado",IF(G1374=VLOOKUP(B1374,PARTIDOS!$A:$I,8,FALSE),IF(AND(E1374=VLOOKUP(B1374,PARTIDOS!$A:$I,6,FALSE),F1374=VLOOKUP(B1374,PARTIDOS!$A:$I,7,FALSE)),3,1),0),"")</f>
        <v/>
      </c>
    </row>
    <row r="1375" ht="20.1" customHeight="1">
      <c r="A1375" s="12" t="inlineStr">
        <is>
          <t>Jugador 20</t>
        </is>
      </c>
      <c r="B1375" s="8" t="inlineStr">
        <is>
          <t>M06</t>
        </is>
      </c>
      <c r="C1375" s="12" t="inlineStr">
        <is>
          <t>EEUU</t>
        </is>
      </c>
      <c r="D1375" s="12" t="inlineStr">
        <is>
          <t>Canadá</t>
        </is>
      </c>
      <c r="E1375" s="8" t="n"/>
      <c r="F1375" s="8" t="n"/>
      <c r="G1375" s="8">
        <f>IF(OR(ISBLANK(E1375),ISBLANK(F1375)),"",IF(E1375&gt;F1375,"Local",IF(E1375=F1375,"Empate","Visitante")))</f>
        <v/>
      </c>
      <c r="H1375" s="8">
        <f>IF(VLOOKUP(B1375,PARTIDOS!$A:$I,9,FALSE)="Cerrado",IF(G1375=VLOOKUP(B1375,PARTIDOS!$A:$I,8,FALSE),IF(AND(E1375=VLOOKUP(B1375,PARTIDOS!$A:$I,6,FALSE),F1375=VLOOKUP(B1375,PARTIDOS!$A:$I,7,FALSE)),3,1),0),"")</f>
        <v/>
      </c>
    </row>
    <row r="1376" ht="20.1" customHeight="1">
      <c r="A1376" s="12" t="inlineStr">
        <is>
          <t>Jugador 20</t>
        </is>
      </c>
      <c r="B1376" s="8" t="inlineStr">
        <is>
          <t>M07</t>
        </is>
      </c>
      <c r="C1376" s="12" t="inlineStr">
        <is>
          <t>Argentina</t>
        </is>
      </c>
      <c r="D1376" s="12" t="inlineStr">
        <is>
          <t>Brasil</t>
        </is>
      </c>
      <c r="E1376" s="8" t="n"/>
      <c r="F1376" s="8" t="n"/>
      <c r="G1376" s="8">
        <f>IF(OR(ISBLANK(E1376),ISBLANK(F1376)),"",IF(E1376&gt;F1376,"Local",IF(E1376=F1376,"Empate","Visitante")))</f>
        <v/>
      </c>
      <c r="H1376" s="8">
        <f>IF(VLOOKUP(B1376,PARTIDOS!$A:$I,9,FALSE)="Cerrado",IF(G1376=VLOOKUP(B1376,PARTIDOS!$A:$I,8,FALSE),IF(AND(E1376=VLOOKUP(B1376,PARTIDOS!$A:$I,6,FALSE),F1376=VLOOKUP(B1376,PARTIDOS!$A:$I,7,FALSE)),3,1),0),"")</f>
        <v/>
      </c>
    </row>
    <row r="1377" ht="20.1" customHeight="1">
      <c r="A1377" s="12" t="inlineStr">
        <is>
          <t>Jugador 20</t>
        </is>
      </c>
      <c r="B1377" s="8" t="inlineStr">
        <is>
          <t>M08</t>
        </is>
      </c>
      <c r="C1377" s="12" t="inlineStr">
        <is>
          <t>Colombia</t>
        </is>
      </c>
      <c r="D1377" s="12" t="inlineStr">
        <is>
          <t>Uruguay</t>
        </is>
      </c>
      <c r="E1377" s="8" t="n"/>
      <c r="F1377" s="8" t="n"/>
      <c r="G1377" s="8">
        <f>IF(OR(ISBLANK(E1377),ISBLANK(F1377)),"",IF(E1377&gt;F1377,"Local",IF(E1377=F1377,"Empate","Visitante")))</f>
        <v/>
      </c>
      <c r="H1377" s="8">
        <f>IF(VLOOKUP(B1377,PARTIDOS!$A:$I,9,FALSE)="Cerrado",IF(G1377=VLOOKUP(B1377,PARTIDOS!$A:$I,8,FALSE),IF(AND(E1377=VLOOKUP(B1377,PARTIDOS!$A:$I,6,FALSE),F1377=VLOOKUP(B1377,PARTIDOS!$A:$I,7,FALSE)),3,1),0),"")</f>
        <v/>
      </c>
    </row>
    <row r="1378" ht="20.1" customHeight="1">
      <c r="A1378" s="12" t="inlineStr">
        <is>
          <t>Jugador 20</t>
        </is>
      </c>
      <c r="B1378" s="8" t="inlineStr">
        <is>
          <t>M09</t>
        </is>
      </c>
      <c r="C1378" s="12" t="inlineStr">
        <is>
          <t>Argentina</t>
        </is>
      </c>
      <c r="D1378" s="12" t="inlineStr">
        <is>
          <t>Colombia</t>
        </is>
      </c>
      <c r="E1378" s="8" t="n"/>
      <c r="F1378" s="8" t="n"/>
      <c r="G1378" s="8">
        <f>IF(OR(ISBLANK(E1378),ISBLANK(F1378)),"",IF(E1378&gt;F1378,"Local",IF(E1378=F1378,"Empate","Visitante")))</f>
        <v/>
      </c>
      <c r="H1378" s="8">
        <f>IF(VLOOKUP(B1378,PARTIDOS!$A:$I,9,FALSE)="Cerrado",IF(G1378=VLOOKUP(B1378,PARTIDOS!$A:$I,8,FALSE),IF(AND(E1378=VLOOKUP(B1378,PARTIDOS!$A:$I,6,FALSE),F1378=VLOOKUP(B1378,PARTIDOS!$A:$I,7,FALSE)),3,1),0),"")</f>
        <v/>
      </c>
    </row>
    <row r="1379" ht="20.1" customHeight="1">
      <c r="A1379" s="12" t="inlineStr">
        <is>
          <t>Jugador 20</t>
        </is>
      </c>
      <c r="B1379" s="8" t="inlineStr">
        <is>
          <t>M10</t>
        </is>
      </c>
      <c r="C1379" s="12" t="inlineStr">
        <is>
          <t>Brasil</t>
        </is>
      </c>
      <c r="D1379" s="12" t="inlineStr">
        <is>
          <t>Uruguay</t>
        </is>
      </c>
      <c r="E1379" s="8" t="n"/>
      <c r="F1379" s="8" t="n"/>
      <c r="G1379" s="8">
        <f>IF(OR(ISBLANK(E1379),ISBLANK(F1379)),"",IF(E1379&gt;F1379,"Local",IF(E1379=F1379,"Empate","Visitante")))</f>
        <v/>
      </c>
      <c r="H1379" s="8">
        <f>IF(VLOOKUP(B1379,PARTIDOS!$A:$I,9,FALSE)="Cerrado",IF(G1379=VLOOKUP(B1379,PARTIDOS!$A:$I,8,FALSE),IF(AND(E1379=VLOOKUP(B1379,PARTIDOS!$A:$I,6,FALSE),F1379=VLOOKUP(B1379,PARTIDOS!$A:$I,7,FALSE)),3,1),0),"")</f>
        <v/>
      </c>
    </row>
    <row r="1380" ht="20.1" customHeight="1">
      <c r="A1380" s="12" t="inlineStr">
        <is>
          <t>Jugador 20</t>
        </is>
      </c>
      <c r="B1380" s="8" t="inlineStr">
        <is>
          <t>M11</t>
        </is>
      </c>
      <c r="C1380" s="12" t="inlineStr">
        <is>
          <t>Argentina</t>
        </is>
      </c>
      <c r="D1380" s="12" t="inlineStr">
        <is>
          <t>Uruguay</t>
        </is>
      </c>
      <c r="E1380" s="8" t="n"/>
      <c r="F1380" s="8" t="n"/>
      <c r="G1380" s="8">
        <f>IF(OR(ISBLANK(E1380),ISBLANK(F1380)),"",IF(E1380&gt;F1380,"Local",IF(E1380=F1380,"Empate","Visitante")))</f>
        <v/>
      </c>
      <c r="H1380" s="8">
        <f>IF(VLOOKUP(B1380,PARTIDOS!$A:$I,9,FALSE)="Cerrado",IF(G1380=VLOOKUP(B1380,PARTIDOS!$A:$I,8,FALSE),IF(AND(E1380=VLOOKUP(B1380,PARTIDOS!$A:$I,6,FALSE),F1380=VLOOKUP(B1380,PARTIDOS!$A:$I,7,FALSE)),3,1),0),"")</f>
        <v/>
      </c>
    </row>
    <row r="1381" ht="20.1" customHeight="1">
      <c r="A1381" s="12" t="inlineStr">
        <is>
          <t>Jugador 20</t>
        </is>
      </c>
      <c r="B1381" s="8" t="inlineStr">
        <is>
          <t>M12</t>
        </is>
      </c>
      <c r="C1381" s="12" t="inlineStr">
        <is>
          <t>Brasil</t>
        </is>
      </c>
      <c r="D1381" s="12" t="inlineStr">
        <is>
          <t>Colombia</t>
        </is>
      </c>
      <c r="E1381" s="8" t="n"/>
      <c r="F1381" s="8" t="n"/>
      <c r="G1381" s="8">
        <f>IF(OR(ISBLANK(E1381),ISBLANK(F1381)),"",IF(E1381&gt;F1381,"Local",IF(E1381=F1381,"Empate","Visitante")))</f>
        <v/>
      </c>
      <c r="H1381" s="8">
        <f>IF(VLOOKUP(B1381,PARTIDOS!$A:$I,9,FALSE)="Cerrado",IF(G1381=VLOOKUP(B1381,PARTIDOS!$A:$I,8,FALSE),IF(AND(E1381=VLOOKUP(B1381,PARTIDOS!$A:$I,6,FALSE),F1381=VLOOKUP(B1381,PARTIDOS!$A:$I,7,FALSE)),3,1),0),"")</f>
        <v/>
      </c>
    </row>
    <row r="1382" ht="20.1" customHeight="1">
      <c r="A1382" s="12" t="inlineStr">
        <is>
          <t>Jugador 20</t>
        </is>
      </c>
      <c r="B1382" s="8" t="inlineStr">
        <is>
          <t>M13</t>
        </is>
      </c>
      <c r="C1382" s="12" t="inlineStr">
        <is>
          <t>Ecuador</t>
        </is>
      </c>
      <c r="D1382" s="12" t="inlineStr">
        <is>
          <t>Perú</t>
        </is>
      </c>
      <c r="E1382" s="8" t="n"/>
      <c r="F1382" s="8" t="n"/>
      <c r="G1382" s="8">
        <f>IF(OR(ISBLANK(E1382),ISBLANK(F1382)),"",IF(E1382&gt;F1382,"Local",IF(E1382=F1382,"Empate","Visitante")))</f>
        <v/>
      </c>
      <c r="H1382" s="8">
        <f>IF(VLOOKUP(B1382,PARTIDOS!$A:$I,9,FALSE)="Cerrado",IF(G1382=VLOOKUP(B1382,PARTIDOS!$A:$I,8,FALSE),IF(AND(E1382=VLOOKUP(B1382,PARTIDOS!$A:$I,6,FALSE),F1382=VLOOKUP(B1382,PARTIDOS!$A:$I,7,FALSE)),3,1),0),"")</f>
        <v/>
      </c>
    </row>
    <row r="1383" ht="20.1" customHeight="1">
      <c r="A1383" s="12" t="inlineStr">
        <is>
          <t>Jugador 20</t>
        </is>
      </c>
      <c r="B1383" s="8" t="inlineStr">
        <is>
          <t>M14</t>
        </is>
      </c>
      <c r="C1383" s="12" t="inlineStr">
        <is>
          <t>Chile</t>
        </is>
      </c>
      <c r="D1383" s="12" t="inlineStr">
        <is>
          <t>Paraguay</t>
        </is>
      </c>
      <c r="E1383" s="8" t="n"/>
      <c r="F1383" s="8" t="n"/>
      <c r="G1383" s="8">
        <f>IF(OR(ISBLANK(E1383),ISBLANK(F1383)),"",IF(E1383&gt;F1383,"Local",IF(E1383=F1383,"Empate","Visitante")))</f>
        <v/>
      </c>
      <c r="H1383" s="8">
        <f>IF(VLOOKUP(B1383,PARTIDOS!$A:$I,9,FALSE)="Cerrado",IF(G1383=VLOOKUP(B1383,PARTIDOS!$A:$I,8,FALSE),IF(AND(E1383=VLOOKUP(B1383,PARTIDOS!$A:$I,6,FALSE),F1383=VLOOKUP(B1383,PARTIDOS!$A:$I,7,FALSE)),3,1),0),"")</f>
        <v/>
      </c>
    </row>
    <row r="1384" ht="20.1" customHeight="1">
      <c r="A1384" s="12" t="inlineStr">
        <is>
          <t>Jugador 20</t>
        </is>
      </c>
      <c r="B1384" s="8" t="inlineStr">
        <is>
          <t>M15</t>
        </is>
      </c>
      <c r="C1384" s="12" t="inlineStr">
        <is>
          <t>Ecuador</t>
        </is>
      </c>
      <c r="D1384" s="12" t="inlineStr">
        <is>
          <t>Chile</t>
        </is>
      </c>
      <c r="E1384" s="8" t="n"/>
      <c r="F1384" s="8" t="n"/>
      <c r="G1384" s="8">
        <f>IF(OR(ISBLANK(E1384),ISBLANK(F1384)),"",IF(E1384&gt;F1384,"Local",IF(E1384=F1384,"Empate","Visitante")))</f>
        <v/>
      </c>
      <c r="H1384" s="8">
        <f>IF(VLOOKUP(B1384,PARTIDOS!$A:$I,9,FALSE)="Cerrado",IF(G1384=VLOOKUP(B1384,PARTIDOS!$A:$I,8,FALSE),IF(AND(E1384=VLOOKUP(B1384,PARTIDOS!$A:$I,6,FALSE),F1384=VLOOKUP(B1384,PARTIDOS!$A:$I,7,FALSE)),3,1),0),"")</f>
        <v/>
      </c>
    </row>
    <row r="1385" ht="20.1" customHeight="1">
      <c r="A1385" s="12" t="inlineStr">
        <is>
          <t>Jugador 20</t>
        </is>
      </c>
      <c r="B1385" s="8" t="inlineStr">
        <is>
          <t>M16</t>
        </is>
      </c>
      <c r="C1385" s="12" t="inlineStr">
        <is>
          <t>Perú</t>
        </is>
      </c>
      <c r="D1385" s="12" t="inlineStr">
        <is>
          <t>Paraguay</t>
        </is>
      </c>
      <c r="E1385" s="8" t="n"/>
      <c r="F1385" s="8" t="n"/>
      <c r="G1385" s="8">
        <f>IF(OR(ISBLANK(E1385),ISBLANK(F1385)),"",IF(E1385&gt;F1385,"Local",IF(E1385=F1385,"Empate","Visitante")))</f>
        <v/>
      </c>
      <c r="H1385" s="8">
        <f>IF(VLOOKUP(B1385,PARTIDOS!$A:$I,9,FALSE)="Cerrado",IF(G1385=VLOOKUP(B1385,PARTIDOS!$A:$I,8,FALSE),IF(AND(E1385=VLOOKUP(B1385,PARTIDOS!$A:$I,6,FALSE),F1385=VLOOKUP(B1385,PARTIDOS!$A:$I,7,FALSE)),3,1),0),"")</f>
        <v/>
      </c>
    </row>
    <row r="1386" ht="20.1" customHeight="1">
      <c r="A1386" s="12" t="inlineStr">
        <is>
          <t>Jugador 20</t>
        </is>
      </c>
      <c r="B1386" s="8" t="inlineStr">
        <is>
          <t>M17</t>
        </is>
      </c>
      <c r="C1386" s="12" t="inlineStr">
        <is>
          <t>Ecuador</t>
        </is>
      </c>
      <c r="D1386" s="12" t="inlineStr">
        <is>
          <t>Paraguay</t>
        </is>
      </c>
      <c r="E1386" s="8" t="n"/>
      <c r="F1386" s="8" t="n"/>
      <c r="G1386" s="8">
        <f>IF(OR(ISBLANK(E1386),ISBLANK(F1386)),"",IF(E1386&gt;F1386,"Local",IF(E1386=F1386,"Empate","Visitante")))</f>
        <v/>
      </c>
      <c r="H1386" s="8">
        <f>IF(VLOOKUP(B1386,PARTIDOS!$A:$I,9,FALSE)="Cerrado",IF(G1386=VLOOKUP(B1386,PARTIDOS!$A:$I,8,FALSE),IF(AND(E1386=VLOOKUP(B1386,PARTIDOS!$A:$I,6,FALSE),F1386=VLOOKUP(B1386,PARTIDOS!$A:$I,7,FALSE)),3,1),0),"")</f>
        <v/>
      </c>
    </row>
    <row r="1387" ht="20.1" customHeight="1">
      <c r="A1387" s="12" t="inlineStr">
        <is>
          <t>Jugador 20</t>
        </is>
      </c>
      <c r="B1387" s="8" t="inlineStr">
        <is>
          <t>M18</t>
        </is>
      </c>
      <c r="C1387" s="12" t="inlineStr">
        <is>
          <t>Perú</t>
        </is>
      </c>
      <c r="D1387" s="12" t="inlineStr">
        <is>
          <t>Chile</t>
        </is>
      </c>
      <c r="E1387" s="8" t="n"/>
      <c r="F1387" s="8" t="n"/>
      <c r="G1387" s="8">
        <f>IF(OR(ISBLANK(E1387),ISBLANK(F1387)),"",IF(E1387&gt;F1387,"Local",IF(E1387=F1387,"Empate","Visitante")))</f>
        <v/>
      </c>
      <c r="H1387" s="8">
        <f>IF(VLOOKUP(B1387,PARTIDOS!$A:$I,9,FALSE)="Cerrado",IF(G1387=VLOOKUP(B1387,PARTIDOS!$A:$I,8,FALSE),IF(AND(E1387=VLOOKUP(B1387,PARTIDOS!$A:$I,6,FALSE),F1387=VLOOKUP(B1387,PARTIDOS!$A:$I,7,FALSE)),3,1),0),"")</f>
        <v/>
      </c>
    </row>
    <row r="1388" ht="20.1" customHeight="1">
      <c r="A1388" s="12" t="inlineStr">
        <is>
          <t>Jugador 20</t>
        </is>
      </c>
      <c r="B1388" s="8" t="inlineStr">
        <is>
          <t>M19</t>
        </is>
      </c>
      <c r="C1388" s="12" t="inlineStr">
        <is>
          <t>España</t>
        </is>
      </c>
      <c r="D1388" s="12" t="inlineStr">
        <is>
          <t>Francia</t>
        </is>
      </c>
      <c r="E1388" s="8" t="n"/>
      <c r="F1388" s="8" t="n"/>
      <c r="G1388" s="8">
        <f>IF(OR(ISBLANK(E1388),ISBLANK(F1388)),"",IF(E1388&gt;F1388,"Local",IF(E1388=F1388,"Empate","Visitante")))</f>
        <v/>
      </c>
      <c r="H1388" s="8">
        <f>IF(VLOOKUP(B1388,PARTIDOS!$A:$I,9,FALSE)="Cerrado",IF(G1388=VLOOKUP(B1388,PARTIDOS!$A:$I,8,FALSE),IF(AND(E1388=VLOOKUP(B1388,PARTIDOS!$A:$I,6,FALSE),F1388=VLOOKUP(B1388,PARTIDOS!$A:$I,7,FALSE)),3,1),0),"")</f>
        <v/>
      </c>
    </row>
    <row r="1389" ht="20.1" customHeight="1">
      <c r="A1389" s="12" t="inlineStr">
        <is>
          <t>Jugador 20</t>
        </is>
      </c>
      <c r="B1389" s="8" t="inlineStr">
        <is>
          <t>M20</t>
        </is>
      </c>
      <c r="C1389" s="12" t="inlineStr">
        <is>
          <t>Inglaterra</t>
        </is>
      </c>
      <c r="D1389" s="12" t="inlineStr">
        <is>
          <t>Alemania</t>
        </is>
      </c>
      <c r="E1389" s="8" t="n"/>
      <c r="F1389" s="8" t="n"/>
      <c r="G1389" s="8">
        <f>IF(OR(ISBLANK(E1389),ISBLANK(F1389)),"",IF(E1389&gt;F1389,"Local",IF(E1389=F1389,"Empate","Visitante")))</f>
        <v/>
      </c>
      <c r="H1389" s="8">
        <f>IF(VLOOKUP(B1389,PARTIDOS!$A:$I,9,FALSE)="Cerrado",IF(G1389=VLOOKUP(B1389,PARTIDOS!$A:$I,8,FALSE),IF(AND(E1389=VLOOKUP(B1389,PARTIDOS!$A:$I,6,FALSE),F1389=VLOOKUP(B1389,PARTIDOS!$A:$I,7,FALSE)),3,1),0),"")</f>
        <v/>
      </c>
    </row>
    <row r="1390" ht="20.1" customHeight="1">
      <c r="A1390" s="12" t="inlineStr">
        <is>
          <t>Jugador 20</t>
        </is>
      </c>
      <c r="B1390" s="8" t="inlineStr">
        <is>
          <t>M21</t>
        </is>
      </c>
      <c r="C1390" s="12" t="inlineStr">
        <is>
          <t>España</t>
        </is>
      </c>
      <c r="D1390" s="12" t="inlineStr">
        <is>
          <t>Inglaterra</t>
        </is>
      </c>
      <c r="E1390" s="8" t="n"/>
      <c r="F1390" s="8" t="n"/>
      <c r="G1390" s="8">
        <f>IF(OR(ISBLANK(E1390),ISBLANK(F1390)),"",IF(E1390&gt;F1390,"Local",IF(E1390=F1390,"Empate","Visitante")))</f>
        <v/>
      </c>
      <c r="H1390" s="8">
        <f>IF(VLOOKUP(B1390,PARTIDOS!$A:$I,9,FALSE)="Cerrado",IF(G1390=VLOOKUP(B1390,PARTIDOS!$A:$I,8,FALSE),IF(AND(E1390=VLOOKUP(B1390,PARTIDOS!$A:$I,6,FALSE),F1390=VLOOKUP(B1390,PARTIDOS!$A:$I,7,FALSE)),3,1),0),"")</f>
        <v/>
      </c>
    </row>
    <row r="1391" ht="20.1" customHeight="1">
      <c r="A1391" s="12" t="inlineStr">
        <is>
          <t>Jugador 20</t>
        </is>
      </c>
      <c r="B1391" s="8" t="inlineStr">
        <is>
          <t>M22</t>
        </is>
      </c>
      <c r="C1391" s="12" t="inlineStr">
        <is>
          <t>Francia</t>
        </is>
      </c>
      <c r="D1391" s="12" t="inlineStr">
        <is>
          <t>Alemania</t>
        </is>
      </c>
      <c r="E1391" s="8" t="n"/>
      <c r="F1391" s="8" t="n"/>
      <c r="G1391" s="8">
        <f>IF(OR(ISBLANK(E1391),ISBLANK(F1391)),"",IF(E1391&gt;F1391,"Local",IF(E1391=F1391,"Empate","Visitante")))</f>
        <v/>
      </c>
      <c r="H1391" s="8">
        <f>IF(VLOOKUP(B1391,PARTIDOS!$A:$I,9,FALSE)="Cerrado",IF(G1391=VLOOKUP(B1391,PARTIDOS!$A:$I,8,FALSE),IF(AND(E1391=VLOOKUP(B1391,PARTIDOS!$A:$I,6,FALSE),F1391=VLOOKUP(B1391,PARTIDOS!$A:$I,7,FALSE)),3,1),0),"")</f>
        <v/>
      </c>
    </row>
    <row r="1392" ht="20.1" customHeight="1">
      <c r="A1392" s="12" t="inlineStr">
        <is>
          <t>Jugador 20</t>
        </is>
      </c>
      <c r="B1392" s="8" t="inlineStr">
        <is>
          <t>M23</t>
        </is>
      </c>
      <c r="C1392" s="12" t="inlineStr">
        <is>
          <t>España</t>
        </is>
      </c>
      <c r="D1392" s="12" t="inlineStr">
        <is>
          <t>Alemania</t>
        </is>
      </c>
      <c r="E1392" s="8" t="n"/>
      <c r="F1392" s="8" t="n"/>
      <c r="G1392" s="8">
        <f>IF(OR(ISBLANK(E1392),ISBLANK(F1392)),"",IF(E1392&gt;F1392,"Local",IF(E1392=F1392,"Empate","Visitante")))</f>
        <v/>
      </c>
      <c r="H1392" s="8">
        <f>IF(VLOOKUP(B1392,PARTIDOS!$A:$I,9,FALSE)="Cerrado",IF(G1392=VLOOKUP(B1392,PARTIDOS!$A:$I,8,FALSE),IF(AND(E1392=VLOOKUP(B1392,PARTIDOS!$A:$I,6,FALSE),F1392=VLOOKUP(B1392,PARTIDOS!$A:$I,7,FALSE)),3,1),0),"")</f>
        <v/>
      </c>
    </row>
    <row r="1393" ht="20.1" customHeight="1">
      <c r="A1393" s="12" t="inlineStr">
        <is>
          <t>Jugador 20</t>
        </is>
      </c>
      <c r="B1393" s="8" t="inlineStr">
        <is>
          <t>M24</t>
        </is>
      </c>
      <c r="C1393" s="12" t="inlineStr">
        <is>
          <t>Francia</t>
        </is>
      </c>
      <c r="D1393" s="12" t="inlineStr">
        <is>
          <t>Inglaterra</t>
        </is>
      </c>
      <c r="E1393" s="8" t="n"/>
      <c r="F1393" s="8" t="n"/>
      <c r="G1393" s="8">
        <f>IF(OR(ISBLANK(E1393),ISBLANK(F1393)),"",IF(E1393&gt;F1393,"Local",IF(E1393=F1393,"Empate","Visitante")))</f>
        <v/>
      </c>
      <c r="H1393" s="8">
        <f>IF(VLOOKUP(B1393,PARTIDOS!$A:$I,9,FALSE)="Cerrado",IF(G1393=VLOOKUP(B1393,PARTIDOS!$A:$I,8,FALSE),IF(AND(E1393=VLOOKUP(B1393,PARTIDOS!$A:$I,6,FALSE),F1393=VLOOKUP(B1393,PARTIDOS!$A:$I,7,FALSE)),3,1),0),"")</f>
        <v/>
      </c>
    </row>
    <row r="1394" ht="20.1" customHeight="1">
      <c r="A1394" s="12" t="inlineStr">
        <is>
          <t>Jugador 20</t>
        </is>
      </c>
      <c r="B1394" s="8" t="inlineStr">
        <is>
          <t>M25</t>
        </is>
      </c>
      <c r="C1394" s="12" t="inlineStr">
        <is>
          <t>Portugal</t>
        </is>
      </c>
      <c r="D1394" s="12" t="inlineStr">
        <is>
          <t>Bélgica</t>
        </is>
      </c>
      <c r="E1394" s="8" t="n"/>
      <c r="F1394" s="8" t="n"/>
      <c r="G1394" s="8">
        <f>IF(OR(ISBLANK(E1394),ISBLANK(F1394)),"",IF(E1394&gt;F1394,"Local",IF(E1394=F1394,"Empate","Visitante")))</f>
        <v/>
      </c>
      <c r="H1394" s="8">
        <f>IF(VLOOKUP(B1394,PARTIDOS!$A:$I,9,FALSE)="Cerrado",IF(G1394=VLOOKUP(B1394,PARTIDOS!$A:$I,8,FALSE),IF(AND(E1394=VLOOKUP(B1394,PARTIDOS!$A:$I,6,FALSE),F1394=VLOOKUP(B1394,PARTIDOS!$A:$I,7,FALSE)),3,1),0),"")</f>
        <v/>
      </c>
    </row>
    <row r="1395" ht="20.1" customHeight="1">
      <c r="A1395" s="12" t="inlineStr">
        <is>
          <t>Jugador 20</t>
        </is>
      </c>
      <c r="B1395" s="8" t="inlineStr">
        <is>
          <t>M26</t>
        </is>
      </c>
      <c r="C1395" s="12" t="inlineStr">
        <is>
          <t>Países Bajos</t>
        </is>
      </c>
      <c r="D1395" s="12" t="inlineStr">
        <is>
          <t>Italia</t>
        </is>
      </c>
      <c r="E1395" s="8" t="n"/>
      <c r="F1395" s="8" t="n"/>
      <c r="G1395" s="8">
        <f>IF(OR(ISBLANK(E1395),ISBLANK(F1395)),"",IF(E1395&gt;F1395,"Local",IF(E1395=F1395,"Empate","Visitante")))</f>
        <v/>
      </c>
      <c r="H1395" s="8">
        <f>IF(VLOOKUP(B1395,PARTIDOS!$A:$I,9,FALSE)="Cerrado",IF(G1395=VLOOKUP(B1395,PARTIDOS!$A:$I,8,FALSE),IF(AND(E1395=VLOOKUP(B1395,PARTIDOS!$A:$I,6,FALSE),F1395=VLOOKUP(B1395,PARTIDOS!$A:$I,7,FALSE)),3,1),0),"")</f>
        <v/>
      </c>
    </row>
    <row r="1396" ht="20.1" customHeight="1">
      <c r="A1396" s="12" t="inlineStr">
        <is>
          <t>Jugador 20</t>
        </is>
      </c>
      <c r="B1396" s="8" t="inlineStr">
        <is>
          <t>M27</t>
        </is>
      </c>
      <c r="C1396" s="12" t="inlineStr">
        <is>
          <t>Portugal</t>
        </is>
      </c>
      <c r="D1396" s="12" t="inlineStr">
        <is>
          <t>Países Bajos</t>
        </is>
      </c>
      <c r="E1396" s="8" t="n"/>
      <c r="F1396" s="8" t="n"/>
      <c r="G1396" s="8">
        <f>IF(OR(ISBLANK(E1396),ISBLANK(F1396)),"",IF(E1396&gt;F1396,"Local",IF(E1396=F1396,"Empate","Visitante")))</f>
        <v/>
      </c>
      <c r="H1396" s="8">
        <f>IF(VLOOKUP(B1396,PARTIDOS!$A:$I,9,FALSE)="Cerrado",IF(G1396=VLOOKUP(B1396,PARTIDOS!$A:$I,8,FALSE),IF(AND(E1396=VLOOKUP(B1396,PARTIDOS!$A:$I,6,FALSE),F1396=VLOOKUP(B1396,PARTIDOS!$A:$I,7,FALSE)),3,1),0),"")</f>
        <v/>
      </c>
    </row>
    <row r="1397" ht="20.1" customHeight="1">
      <c r="A1397" s="12" t="inlineStr">
        <is>
          <t>Jugador 20</t>
        </is>
      </c>
      <c r="B1397" s="8" t="inlineStr">
        <is>
          <t>M28</t>
        </is>
      </c>
      <c r="C1397" s="12" t="inlineStr">
        <is>
          <t>Bélgica</t>
        </is>
      </c>
      <c r="D1397" s="12" t="inlineStr">
        <is>
          <t>Italia</t>
        </is>
      </c>
      <c r="E1397" s="8" t="n"/>
      <c r="F1397" s="8" t="n"/>
      <c r="G1397" s="8">
        <f>IF(OR(ISBLANK(E1397),ISBLANK(F1397)),"",IF(E1397&gt;F1397,"Local",IF(E1397=F1397,"Empate","Visitante")))</f>
        <v/>
      </c>
      <c r="H1397" s="8">
        <f>IF(VLOOKUP(B1397,PARTIDOS!$A:$I,9,FALSE)="Cerrado",IF(G1397=VLOOKUP(B1397,PARTIDOS!$A:$I,8,FALSE),IF(AND(E1397=VLOOKUP(B1397,PARTIDOS!$A:$I,6,FALSE),F1397=VLOOKUP(B1397,PARTIDOS!$A:$I,7,FALSE)),3,1),0),"")</f>
        <v/>
      </c>
    </row>
    <row r="1398" ht="20.1" customHeight="1">
      <c r="A1398" s="12" t="inlineStr">
        <is>
          <t>Jugador 20</t>
        </is>
      </c>
      <c r="B1398" s="8" t="inlineStr">
        <is>
          <t>M29</t>
        </is>
      </c>
      <c r="C1398" s="12" t="inlineStr">
        <is>
          <t>Portugal</t>
        </is>
      </c>
      <c r="D1398" s="12" t="inlineStr">
        <is>
          <t>Italia</t>
        </is>
      </c>
      <c r="E1398" s="8" t="n"/>
      <c r="F1398" s="8" t="n"/>
      <c r="G1398" s="8">
        <f>IF(OR(ISBLANK(E1398),ISBLANK(F1398)),"",IF(E1398&gt;F1398,"Local",IF(E1398=F1398,"Empate","Visitante")))</f>
        <v/>
      </c>
      <c r="H1398" s="8">
        <f>IF(VLOOKUP(B1398,PARTIDOS!$A:$I,9,FALSE)="Cerrado",IF(G1398=VLOOKUP(B1398,PARTIDOS!$A:$I,8,FALSE),IF(AND(E1398=VLOOKUP(B1398,PARTIDOS!$A:$I,6,FALSE),F1398=VLOOKUP(B1398,PARTIDOS!$A:$I,7,FALSE)),3,1),0),"")</f>
        <v/>
      </c>
    </row>
    <row r="1399" ht="20.1" customHeight="1">
      <c r="A1399" s="12" t="inlineStr">
        <is>
          <t>Jugador 20</t>
        </is>
      </c>
      <c r="B1399" s="8" t="inlineStr">
        <is>
          <t>M30</t>
        </is>
      </c>
      <c r="C1399" s="12" t="inlineStr">
        <is>
          <t>Bélgica</t>
        </is>
      </c>
      <c r="D1399" s="12" t="inlineStr">
        <is>
          <t>Países Bajos</t>
        </is>
      </c>
      <c r="E1399" s="8" t="n"/>
      <c r="F1399" s="8" t="n"/>
      <c r="G1399" s="8">
        <f>IF(OR(ISBLANK(E1399),ISBLANK(F1399)),"",IF(E1399&gt;F1399,"Local",IF(E1399=F1399,"Empate","Visitante")))</f>
        <v/>
      </c>
      <c r="H1399" s="8">
        <f>IF(VLOOKUP(B1399,PARTIDOS!$A:$I,9,FALSE)="Cerrado",IF(G1399=VLOOKUP(B1399,PARTIDOS!$A:$I,8,FALSE),IF(AND(E1399=VLOOKUP(B1399,PARTIDOS!$A:$I,6,FALSE),F1399=VLOOKUP(B1399,PARTIDOS!$A:$I,7,FALSE)),3,1),0),"")</f>
        <v/>
      </c>
    </row>
    <row r="1400" ht="20.1" customHeight="1">
      <c r="A1400" s="12" t="inlineStr">
        <is>
          <t>Jugador 20</t>
        </is>
      </c>
      <c r="B1400" s="8" t="inlineStr">
        <is>
          <t>M31</t>
        </is>
      </c>
      <c r="C1400" s="12" t="inlineStr">
        <is>
          <t>Croacia</t>
        </is>
      </c>
      <c r="D1400" s="12" t="inlineStr">
        <is>
          <t>Suiza</t>
        </is>
      </c>
      <c r="E1400" s="8" t="n"/>
      <c r="F1400" s="8" t="n"/>
      <c r="G1400" s="8">
        <f>IF(OR(ISBLANK(E1400),ISBLANK(F1400)),"",IF(E1400&gt;F1400,"Local",IF(E1400=F1400,"Empate","Visitante")))</f>
        <v/>
      </c>
      <c r="H1400" s="8">
        <f>IF(VLOOKUP(B1400,PARTIDOS!$A:$I,9,FALSE)="Cerrado",IF(G1400=VLOOKUP(B1400,PARTIDOS!$A:$I,8,FALSE),IF(AND(E1400=VLOOKUP(B1400,PARTIDOS!$A:$I,6,FALSE),F1400=VLOOKUP(B1400,PARTIDOS!$A:$I,7,FALSE)),3,1),0),"")</f>
        <v/>
      </c>
    </row>
    <row r="1401" ht="20.1" customHeight="1">
      <c r="A1401" s="12" t="inlineStr">
        <is>
          <t>Jugador 20</t>
        </is>
      </c>
      <c r="B1401" s="8" t="inlineStr">
        <is>
          <t>M32</t>
        </is>
      </c>
      <c r="C1401" s="12" t="inlineStr">
        <is>
          <t>Dinamarca</t>
        </is>
      </c>
      <c r="D1401" s="12" t="inlineStr">
        <is>
          <t>Serbia</t>
        </is>
      </c>
      <c r="E1401" s="8" t="n"/>
      <c r="F1401" s="8" t="n"/>
      <c r="G1401" s="8">
        <f>IF(OR(ISBLANK(E1401),ISBLANK(F1401)),"",IF(E1401&gt;F1401,"Local",IF(E1401=F1401,"Empate","Visitante")))</f>
        <v/>
      </c>
      <c r="H1401" s="8">
        <f>IF(VLOOKUP(B1401,PARTIDOS!$A:$I,9,FALSE)="Cerrado",IF(G1401=VLOOKUP(B1401,PARTIDOS!$A:$I,8,FALSE),IF(AND(E1401=VLOOKUP(B1401,PARTIDOS!$A:$I,6,FALSE),F1401=VLOOKUP(B1401,PARTIDOS!$A:$I,7,FALSE)),3,1),0),"")</f>
        <v/>
      </c>
    </row>
    <row r="1402" ht="20.1" customHeight="1">
      <c r="A1402" s="12" t="inlineStr">
        <is>
          <t>Jugador 20</t>
        </is>
      </c>
      <c r="B1402" s="8" t="inlineStr">
        <is>
          <t>M33</t>
        </is>
      </c>
      <c r="C1402" s="12" t="inlineStr">
        <is>
          <t>Croacia</t>
        </is>
      </c>
      <c r="D1402" s="12" t="inlineStr">
        <is>
          <t>Dinamarca</t>
        </is>
      </c>
      <c r="E1402" s="8" t="n"/>
      <c r="F1402" s="8" t="n"/>
      <c r="G1402" s="8">
        <f>IF(OR(ISBLANK(E1402),ISBLANK(F1402)),"",IF(E1402&gt;F1402,"Local",IF(E1402=F1402,"Empate","Visitante")))</f>
        <v/>
      </c>
      <c r="H1402" s="8">
        <f>IF(VLOOKUP(B1402,PARTIDOS!$A:$I,9,FALSE)="Cerrado",IF(G1402=VLOOKUP(B1402,PARTIDOS!$A:$I,8,FALSE),IF(AND(E1402=VLOOKUP(B1402,PARTIDOS!$A:$I,6,FALSE),F1402=VLOOKUP(B1402,PARTIDOS!$A:$I,7,FALSE)),3,1),0),"")</f>
        <v/>
      </c>
    </row>
    <row r="1403" ht="20.1" customHeight="1">
      <c r="A1403" s="12" t="inlineStr">
        <is>
          <t>Jugador 20</t>
        </is>
      </c>
      <c r="B1403" s="8" t="inlineStr">
        <is>
          <t>M34</t>
        </is>
      </c>
      <c r="C1403" s="12" t="inlineStr">
        <is>
          <t>Suiza</t>
        </is>
      </c>
      <c r="D1403" s="12" t="inlineStr">
        <is>
          <t>Serbia</t>
        </is>
      </c>
      <c r="E1403" s="8" t="n"/>
      <c r="F1403" s="8" t="n"/>
      <c r="G1403" s="8">
        <f>IF(OR(ISBLANK(E1403),ISBLANK(F1403)),"",IF(E1403&gt;F1403,"Local",IF(E1403=F1403,"Empate","Visitante")))</f>
        <v/>
      </c>
      <c r="H1403" s="8">
        <f>IF(VLOOKUP(B1403,PARTIDOS!$A:$I,9,FALSE)="Cerrado",IF(G1403=VLOOKUP(B1403,PARTIDOS!$A:$I,8,FALSE),IF(AND(E1403=VLOOKUP(B1403,PARTIDOS!$A:$I,6,FALSE),F1403=VLOOKUP(B1403,PARTIDOS!$A:$I,7,FALSE)),3,1),0),"")</f>
        <v/>
      </c>
    </row>
    <row r="1404" ht="20.1" customHeight="1">
      <c r="A1404" s="12" t="inlineStr">
        <is>
          <t>Jugador 20</t>
        </is>
      </c>
      <c r="B1404" s="8" t="inlineStr">
        <is>
          <t>M35</t>
        </is>
      </c>
      <c r="C1404" s="12" t="inlineStr">
        <is>
          <t>Croacia</t>
        </is>
      </c>
      <c r="D1404" s="12" t="inlineStr">
        <is>
          <t>Serbia</t>
        </is>
      </c>
      <c r="E1404" s="8" t="n"/>
      <c r="F1404" s="8" t="n"/>
      <c r="G1404" s="8">
        <f>IF(OR(ISBLANK(E1404),ISBLANK(F1404)),"",IF(E1404&gt;F1404,"Local",IF(E1404=F1404,"Empate","Visitante")))</f>
        <v/>
      </c>
      <c r="H1404" s="8">
        <f>IF(VLOOKUP(B1404,PARTIDOS!$A:$I,9,FALSE)="Cerrado",IF(G1404=VLOOKUP(B1404,PARTIDOS!$A:$I,8,FALSE),IF(AND(E1404=VLOOKUP(B1404,PARTIDOS!$A:$I,6,FALSE),F1404=VLOOKUP(B1404,PARTIDOS!$A:$I,7,FALSE)),3,1),0),"")</f>
        <v/>
      </c>
    </row>
    <row r="1405" ht="20.1" customHeight="1">
      <c r="A1405" s="12" t="inlineStr">
        <is>
          <t>Jugador 20</t>
        </is>
      </c>
      <c r="B1405" s="8" t="inlineStr">
        <is>
          <t>M36</t>
        </is>
      </c>
      <c r="C1405" s="12" t="inlineStr">
        <is>
          <t>Suiza</t>
        </is>
      </c>
      <c r="D1405" s="12" t="inlineStr">
        <is>
          <t>Dinamarca</t>
        </is>
      </c>
      <c r="E1405" s="8" t="n"/>
      <c r="F1405" s="8" t="n"/>
      <c r="G1405" s="8">
        <f>IF(OR(ISBLANK(E1405),ISBLANK(F1405)),"",IF(E1405&gt;F1405,"Local",IF(E1405=F1405,"Empate","Visitante")))</f>
        <v/>
      </c>
      <c r="H1405" s="8">
        <f>IF(VLOOKUP(B1405,PARTIDOS!$A:$I,9,FALSE)="Cerrado",IF(G1405=VLOOKUP(B1405,PARTIDOS!$A:$I,8,FALSE),IF(AND(E1405=VLOOKUP(B1405,PARTIDOS!$A:$I,6,FALSE),F1405=VLOOKUP(B1405,PARTIDOS!$A:$I,7,FALSE)),3,1),0),"")</f>
        <v/>
      </c>
    </row>
    <row r="1406" ht="20.1" customHeight="1">
      <c r="A1406" s="12" t="inlineStr">
        <is>
          <t>Jugador 20</t>
        </is>
      </c>
      <c r="B1406" s="8" t="inlineStr">
        <is>
          <t>M37</t>
        </is>
      </c>
      <c r="C1406" s="12" t="inlineStr">
        <is>
          <t>Polonia</t>
        </is>
      </c>
      <c r="D1406" s="12" t="inlineStr">
        <is>
          <t>Ucrania</t>
        </is>
      </c>
      <c r="E1406" s="8" t="n"/>
      <c r="F1406" s="8" t="n"/>
      <c r="G1406" s="8">
        <f>IF(OR(ISBLANK(E1406),ISBLANK(F1406)),"",IF(E1406&gt;F1406,"Local",IF(E1406=F1406,"Empate","Visitante")))</f>
        <v/>
      </c>
      <c r="H1406" s="8">
        <f>IF(VLOOKUP(B1406,PARTIDOS!$A:$I,9,FALSE)="Cerrado",IF(G1406=VLOOKUP(B1406,PARTIDOS!$A:$I,8,FALSE),IF(AND(E1406=VLOOKUP(B1406,PARTIDOS!$A:$I,6,FALSE),F1406=VLOOKUP(B1406,PARTIDOS!$A:$I,7,FALSE)),3,1),0),"")</f>
        <v/>
      </c>
    </row>
    <row r="1407" ht="20.1" customHeight="1">
      <c r="A1407" s="12" t="inlineStr">
        <is>
          <t>Jugador 20</t>
        </is>
      </c>
      <c r="B1407" s="8" t="inlineStr">
        <is>
          <t>M38</t>
        </is>
      </c>
      <c r="C1407" s="12" t="inlineStr">
        <is>
          <t>Suecia</t>
        </is>
      </c>
      <c r="D1407" s="12" t="inlineStr">
        <is>
          <t>Gales</t>
        </is>
      </c>
      <c r="E1407" s="8" t="n"/>
      <c r="F1407" s="8" t="n"/>
      <c r="G1407" s="8">
        <f>IF(OR(ISBLANK(E1407),ISBLANK(F1407)),"",IF(E1407&gt;F1407,"Local",IF(E1407=F1407,"Empate","Visitante")))</f>
        <v/>
      </c>
      <c r="H1407" s="8">
        <f>IF(VLOOKUP(B1407,PARTIDOS!$A:$I,9,FALSE)="Cerrado",IF(G1407=VLOOKUP(B1407,PARTIDOS!$A:$I,8,FALSE),IF(AND(E1407=VLOOKUP(B1407,PARTIDOS!$A:$I,6,FALSE),F1407=VLOOKUP(B1407,PARTIDOS!$A:$I,7,FALSE)),3,1),0),"")</f>
        <v/>
      </c>
    </row>
    <row r="1408" ht="20.1" customHeight="1">
      <c r="A1408" s="12" t="inlineStr">
        <is>
          <t>Jugador 20</t>
        </is>
      </c>
      <c r="B1408" s="8" t="inlineStr">
        <is>
          <t>M39</t>
        </is>
      </c>
      <c r="C1408" s="12" t="inlineStr">
        <is>
          <t>Polonia</t>
        </is>
      </c>
      <c r="D1408" s="12" t="inlineStr">
        <is>
          <t>Suecia</t>
        </is>
      </c>
      <c r="E1408" s="8" t="n"/>
      <c r="F1408" s="8" t="n"/>
      <c r="G1408" s="8">
        <f>IF(OR(ISBLANK(E1408),ISBLANK(F1408)),"",IF(E1408&gt;F1408,"Local",IF(E1408=F1408,"Empate","Visitante")))</f>
        <v/>
      </c>
      <c r="H1408" s="8">
        <f>IF(VLOOKUP(B1408,PARTIDOS!$A:$I,9,FALSE)="Cerrado",IF(G1408=VLOOKUP(B1408,PARTIDOS!$A:$I,8,FALSE),IF(AND(E1408=VLOOKUP(B1408,PARTIDOS!$A:$I,6,FALSE),F1408=VLOOKUP(B1408,PARTIDOS!$A:$I,7,FALSE)),3,1),0),"")</f>
        <v/>
      </c>
    </row>
    <row r="1409" ht="20.1" customHeight="1">
      <c r="A1409" s="12" t="inlineStr">
        <is>
          <t>Jugador 20</t>
        </is>
      </c>
      <c r="B1409" s="8" t="inlineStr">
        <is>
          <t>M40</t>
        </is>
      </c>
      <c r="C1409" s="12" t="inlineStr">
        <is>
          <t>Ucrania</t>
        </is>
      </c>
      <c r="D1409" s="12" t="inlineStr">
        <is>
          <t>Gales</t>
        </is>
      </c>
      <c r="E1409" s="8" t="n"/>
      <c r="F1409" s="8" t="n"/>
      <c r="G1409" s="8">
        <f>IF(OR(ISBLANK(E1409),ISBLANK(F1409)),"",IF(E1409&gt;F1409,"Local",IF(E1409=F1409,"Empate","Visitante")))</f>
        <v/>
      </c>
      <c r="H1409" s="8">
        <f>IF(VLOOKUP(B1409,PARTIDOS!$A:$I,9,FALSE)="Cerrado",IF(G1409=VLOOKUP(B1409,PARTIDOS!$A:$I,8,FALSE),IF(AND(E1409=VLOOKUP(B1409,PARTIDOS!$A:$I,6,FALSE),F1409=VLOOKUP(B1409,PARTIDOS!$A:$I,7,FALSE)),3,1),0),"")</f>
        <v/>
      </c>
    </row>
    <row r="1410" ht="20.1" customHeight="1">
      <c r="A1410" s="12" t="inlineStr">
        <is>
          <t>Jugador 20</t>
        </is>
      </c>
      <c r="B1410" s="8" t="inlineStr">
        <is>
          <t>M41</t>
        </is>
      </c>
      <c r="C1410" s="12" t="inlineStr">
        <is>
          <t>Polonia</t>
        </is>
      </c>
      <c r="D1410" s="12" t="inlineStr">
        <is>
          <t>Gales</t>
        </is>
      </c>
      <c r="E1410" s="8" t="n"/>
      <c r="F1410" s="8" t="n"/>
      <c r="G1410" s="8">
        <f>IF(OR(ISBLANK(E1410),ISBLANK(F1410)),"",IF(E1410&gt;F1410,"Local",IF(E1410=F1410,"Empate","Visitante")))</f>
        <v/>
      </c>
      <c r="H1410" s="8">
        <f>IF(VLOOKUP(B1410,PARTIDOS!$A:$I,9,FALSE)="Cerrado",IF(G1410=VLOOKUP(B1410,PARTIDOS!$A:$I,8,FALSE),IF(AND(E1410=VLOOKUP(B1410,PARTIDOS!$A:$I,6,FALSE),F1410=VLOOKUP(B1410,PARTIDOS!$A:$I,7,FALSE)),3,1),0),"")</f>
        <v/>
      </c>
    </row>
    <row r="1411" ht="20.1" customHeight="1">
      <c r="A1411" s="12" t="inlineStr">
        <is>
          <t>Jugador 20</t>
        </is>
      </c>
      <c r="B1411" s="8" t="inlineStr">
        <is>
          <t>M42</t>
        </is>
      </c>
      <c r="C1411" s="12" t="inlineStr">
        <is>
          <t>Ucrania</t>
        </is>
      </c>
      <c r="D1411" s="12" t="inlineStr">
        <is>
          <t>Suecia</t>
        </is>
      </c>
      <c r="E1411" s="8" t="n"/>
      <c r="F1411" s="8" t="n"/>
      <c r="G1411" s="8">
        <f>IF(OR(ISBLANK(E1411),ISBLANK(F1411)),"",IF(E1411&gt;F1411,"Local",IF(E1411=F1411,"Empate","Visitante")))</f>
        <v/>
      </c>
      <c r="H1411" s="8">
        <f>IF(VLOOKUP(B1411,PARTIDOS!$A:$I,9,FALSE)="Cerrado",IF(G1411=VLOOKUP(B1411,PARTIDOS!$A:$I,8,FALSE),IF(AND(E1411=VLOOKUP(B1411,PARTIDOS!$A:$I,6,FALSE),F1411=VLOOKUP(B1411,PARTIDOS!$A:$I,7,FALSE)),3,1),0),"")</f>
        <v/>
      </c>
    </row>
    <row r="1412" ht="20.1" customHeight="1">
      <c r="A1412" s="12" t="inlineStr">
        <is>
          <t>Jugador 20</t>
        </is>
      </c>
      <c r="B1412" s="8" t="inlineStr">
        <is>
          <t>M43</t>
        </is>
      </c>
      <c r="C1412" s="12" t="inlineStr">
        <is>
          <t>Austria</t>
        </is>
      </c>
      <c r="D1412" s="12" t="inlineStr">
        <is>
          <t>Hungría</t>
        </is>
      </c>
      <c r="E1412" s="8" t="n"/>
      <c r="F1412" s="8" t="n"/>
      <c r="G1412" s="8">
        <f>IF(OR(ISBLANK(E1412),ISBLANK(F1412)),"",IF(E1412&gt;F1412,"Local",IF(E1412=F1412,"Empate","Visitante")))</f>
        <v/>
      </c>
      <c r="H1412" s="8">
        <f>IF(VLOOKUP(B1412,PARTIDOS!$A:$I,9,FALSE)="Cerrado",IF(G1412=VLOOKUP(B1412,PARTIDOS!$A:$I,8,FALSE),IF(AND(E1412=VLOOKUP(B1412,PARTIDOS!$A:$I,6,FALSE),F1412=VLOOKUP(B1412,PARTIDOS!$A:$I,7,FALSE)),3,1),0),"")</f>
        <v/>
      </c>
    </row>
    <row r="1413" ht="20.1" customHeight="1">
      <c r="A1413" s="12" t="inlineStr">
        <is>
          <t>Jugador 20</t>
        </is>
      </c>
      <c r="B1413" s="8" t="inlineStr">
        <is>
          <t>M44</t>
        </is>
      </c>
      <c r="C1413" s="12" t="inlineStr">
        <is>
          <t>Turquía</t>
        </is>
      </c>
      <c r="D1413" s="12" t="inlineStr">
        <is>
          <t>Escocia</t>
        </is>
      </c>
      <c r="E1413" s="8" t="n"/>
      <c r="F1413" s="8" t="n"/>
      <c r="G1413" s="8">
        <f>IF(OR(ISBLANK(E1413),ISBLANK(F1413)),"",IF(E1413&gt;F1413,"Local",IF(E1413=F1413,"Empate","Visitante")))</f>
        <v/>
      </c>
      <c r="H1413" s="8">
        <f>IF(VLOOKUP(B1413,PARTIDOS!$A:$I,9,FALSE)="Cerrado",IF(G1413=VLOOKUP(B1413,PARTIDOS!$A:$I,8,FALSE),IF(AND(E1413=VLOOKUP(B1413,PARTIDOS!$A:$I,6,FALSE),F1413=VLOOKUP(B1413,PARTIDOS!$A:$I,7,FALSE)),3,1),0),"")</f>
        <v/>
      </c>
    </row>
    <row r="1414" ht="20.1" customHeight="1">
      <c r="A1414" s="12" t="inlineStr">
        <is>
          <t>Jugador 20</t>
        </is>
      </c>
      <c r="B1414" s="8" t="inlineStr">
        <is>
          <t>M45</t>
        </is>
      </c>
      <c r="C1414" s="12" t="inlineStr">
        <is>
          <t>Austria</t>
        </is>
      </c>
      <c r="D1414" s="12" t="inlineStr">
        <is>
          <t>Turquía</t>
        </is>
      </c>
      <c r="E1414" s="8" t="n"/>
      <c r="F1414" s="8" t="n"/>
      <c r="G1414" s="8">
        <f>IF(OR(ISBLANK(E1414),ISBLANK(F1414)),"",IF(E1414&gt;F1414,"Local",IF(E1414=F1414,"Empate","Visitante")))</f>
        <v/>
      </c>
      <c r="H1414" s="8">
        <f>IF(VLOOKUP(B1414,PARTIDOS!$A:$I,9,FALSE)="Cerrado",IF(G1414=VLOOKUP(B1414,PARTIDOS!$A:$I,8,FALSE),IF(AND(E1414=VLOOKUP(B1414,PARTIDOS!$A:$I,6,FALSE),F1414=VLOOKUP(B1414,PARTIDOS!$A:$I,7,FALSE)),3,1),0),"")</f>
        <v/>
      </c>
    </row>
    <row r="1415" ht="20.1" customHeight="1">
      <c r="A1415" s="12" t="inlineStr">
        <is>
          <t>Jugador 20</t>
        </is>
      </c>
      <c r="B1415" s="8" t="inlineStr">
        <is>
          <t>M46</t>
        </is>
      </c>
      <c r="C1415" s="12" t="inlineStr">
        <is>
          <t>Hungría</t>
        </is>
      </c>
      <c r="D1415" s="12" t="inlineStr">
        <is>
          <t>Escocia</t>
        </is>
      </c>
      <c r="E1415" s="8" t="n"/>
      <c r="F1415" s="8" t="n"/>
      <c r="G1415" s="8">
        <f>IF(OR(ISBLANK(E1415),ISBLANK(F1415)),"",IF(E1415&gt;F1415,"Local",IF(E1415=F1415,"Empate","Visitante")))</f>
        <v/>
      </c>
      <c r="H1415" s="8">
        <f>IF(VLOOKUP(B1415,PARTIDOS!$A:$I,9,FALSE)="Cerrado",IF(G1415=VLOOKUP(B1415,PARTIDOS!$A:$I,8,FALSE),IF(AND(E1415=VLOOKUP(B1415,PARTIDOS!$A:$I,6,FALSE),F1415=VLOOKUP(B1415,PARTIDOS!$A:$I,7,FALSE)),3,1),0),"")</f>
        <v/>
      </c>
    </row>
    <row r="1416" ht="20.1" customHeight="1">
      <c r="A1416" s="12" t="inlineStr">
        <is>
          <t>Jugador 20</t>
        </is>
      </c>
      <c r="B1416" s="8" t="inlineStr">
        <is>
          <t>M47</t>
        </is>
      </c>
      <c r="C1416" s="12" t="inlineStr">
        <is>
          <t>Austria</t>
        </is>
      </c>
      <c r="D1416" s="12" t="inlineStr">
        <is>
          <t>Escocia</t>
        </is>
      </c>
      <c r="E1416" s="8" t="n"/>
      <c r="F1416" s="8" t="n"/>
      <c r="G1416" s="8">
        <f>IF(OR(ISBLANK(E1416),ISBLANK(F1416)),"",IF(E1416&gt;F1416,"Local",IF(E1416=F1416,"Empate","Visitante")))</f>
        <v/>
      </c>
      <c r="H1416" s="8">
        <f>IF(VLOOKUP(B1416,PARTIDOS!$A:$I,9,FALSE)="Cerrado",IF(G1416=VLOOKUP(B1416,PARTIDOS!$A:$I,8,FALSE),IF(AND(E1416=VLOOKUP(B1416,PARTIDOS!$A:$I,6,FALSE),F1416=VLOOKUP(B1416,PARTIDOS!$A:$I,7,FALSE)),3,1),0),"")</f>
        <v/>
      </c>
    </row>
    <row r="1417" ht="20.1" customHeight="1">
      <c r="A1417" s="12" t="inlineStr">
        <is>
          <t>Jugador 20</t>
        </is>
      </c>
      <c r="B1417" s="8" t="inlineStr">
        <is>
          <t>M48</t>
        </is>
      </c>
      <c r="C1417" s="12" t="inlineStr">
        <is>
          <t>Hungría</t>
        </is>
      </c>
      <c r="D1417" s="12" t="inlineStr">
        <is>
          <t>Turquía</t>
        </is>
      </c>
      <c r="E1417" s="8" t="n"/>
      <c r="F1417" s="8" t="n"/>
      <c r="G1417" s="8">
        <f>IF(OR(ISBLANK(E1417),ISBLANK(F1417)),"",IF(E1417&gt;F1417,"Local",IF(E1417=F1417,"Empate","Visitante")))</f>
        <v/>
      </c>
      <c r="H1417" s="8">
        <f>IF(VLOOKUP(B1417,PARTIDOS!$A:$I,9,FALSE)="Cerrado",IF(G1417=VLOOKUP(B1417,PARTIDOS!$A:$I,8,FALSE),IF(AND(E1417=VLOOKUP(B1417,PARTIDOS!$A:$I,6,FALSE),F1417=VLOOKUP(B1417,PARTIDOS!$A:$I,7,FALSE)),3,1),0),"")</f>
        <v/>
      </c>
    </row>
    <row r="1418" ht="20.1" customHeight="1">
      <c r="A1418" s="12" t="inlineStr">
        <is>
          <t>Jugador 20</t>
        </is>
      </c>
      <c r="B1418" s="8" t="inlineStr">
        <is>
          <t>M49</t>
        </is>
      </c>
      <c r="C1418" s="12" t="inlineStr">
        <is>
          <t>República Checa</t>
        </is>
      </c>
      <c r="D1418" s="12" t="inlineStr">
        <is>
          <t>Noruega</t>
        </is>
      </c>
      <c r="E1418" s="8" t="n"/>
      <c r="F1418" s="8" t="n"/>
      <c r="G1418" s="8">
        <f>IF(OR(ISBLANK(E1418),ISBLANK(F1418)),"",IF(E1418&gt;F1418,"Local",IF(E1418=F1418,"Empate","Visitante")))</f>
        <v/>
      </c>
      <c r="H1418" s="8">
        <f>IF(VLOOKUP(B1418,PARTIDOS!$A:$I,9,FALSE)="Cerrado",IF(G1418=VLOOKUP(B1418,PARTIDOS!$A:$I,8,FALSE),IF(AND(E1418=VLOOKUP(B1418,PARTIDOS!$A:$I,6,FALSE),F1418=VLOOKUP(B1418,PARTIDOS!$A:$I,7,FALSE)),3,1),0),"")</f>
        <v/>
      </c>
    </row>
    <row r="1419" ht="20.1" customHeight="1">
      <c r="A1419" s="12" t="inlineStr">
        <is>
          <t>Jugador 20</t>
        </is>
      </c>
      <c r="B1419" s="8" t="inlineStr">
        <is>
          <t>M50</t>
        </is>
      </c>
      <c r="C1419" s="12" t="inlineStr">
        <is>
          <t>Japón</t>
        </is>
      </c>
      <c r="D1419" s="12" t="inlineStr">
        <is>
          <t>Irán</t>
        </is>
      </c>
      <c r="E1419" s="8" t="n"/>
      <c r="F1419" s="8" t="n"/>
      <c r="G1419" s="8">
        <f>IF(OR(ISBLANK(E1419),ISBLANK(F1419)),"",IF(E1419&gt;F1419,"Local",IF(E1419=F1419,"Empate","Visitante")))</f>
        <v/>
      </c>
      <c r="H1419" s="8">
        <f>IF(VLOOKUP(B1419,PARTIDOS!$A:$I,9,FALSE)="Cerrado",IF(G1419=VLOOKUP(B1419,PARTIDOS!$A:$I,8,FALSE),IF(AND(E1419=VLOOKUP(B1419,PARTIDOS!$A:$I,6,FALSE),F1419=VLOOKUP(B1419,PARTIDOS!$A:$I,7,FALSE)),3,1),0),"")</f>
        <v/>
      </c>
    </row>
    <row r="1420" ht="20.1" customHeight="1">
      <c r="A1420" s="12" t="inlineStr">
        <is>
          <t>Jugador 20</t>
        </is>
      </c>
      <c r="B1420" s="8" t="inlineStr">
        <is>
          <t>M51</t>
        </is>
      </c>
      <c r="C1420" s="12" t="inlineStr">
        <is>
          <t>República Checa</t>
        </is>
      </c>
      <c r="D1420" s="12" t="inlineStr">
        <is>
          <t>Japón</t>
        </is>
      </c>
      <c r="E1420" s="8" t="n"/>
      <c r="F1420" s="8" t="n"/>
      <c r="G1420" s="8">
        <f>IF(OR(ISBLANK(E1420),ISBLANK(F1420)),"",IF(E1420&gt;F1420,"Local",IF(E1420=F1420,"Empate","Visitante")))</f>
        <v/>
      </c>
      <c r="H1420" s="8">
        <f>IF(VLOOKUP(B1420,PARTIDOS!$A:$I,9,FALSE)="Cerrado",IF(G1420=VLOOKUP(B1420,PARTIDOS!$A:$I,8,FALSE),IF(AND(E1420=VLOOKUP(B1420,PARTIDOS!$A:$I,6,FALSE),F1420=VLOOKUP(B1420,PARTIDOS!$A:$I,7,FALSE)),3,1),0),"")</f>
        <v/>
      </c>
    </row>
    <row r="1421" ht="20.1" customHeight="1">
      <c r="A1421" s="12" t="inlineStr">
        <is>
          <t>Jugador 20</t>
        </is>
      </c>
      <c r="B1421" s="8" t="inlineStr">
        <is>
          <t>M52</t>
        </is>
      </c>
      <c r="C1421" s="12" t="inlineStr">
        <is>
          <t>Noruega</t>
        </is>
      </c>
      <c r="D1421" s="12" t="inlineStr">
        <is>
          <t>Irán</t>
        </is>
      </c>
      <c r="E1421" s="8" t="n"/>
      <c r="F1421" s="8" t="n"/>
      <c r="G1421" s="8">
        <f>IF(OR(ISBLANK(E1421),ISBLANK(F1421)),"",IF(E1421&gt;F1421,"Local",IF(E1421=F1421,"Empate","Visitante")))</f>
        <v/>
      </c>
      <c r="H1421" s="8">
        <f>IF(VLOOKUP(B1421,PARTIDOS!$A:$I,9,FALSE)="Cerrado",IF(G1421=VLOOKUP(B1421,PARTIDOS!$A:$I,8,FALSE),IF(AND(E1421=VLOOKUP(B1421,PARTIDOS!$A:$I,6,FALSE),F1421=VLOOKUP(B1421,PARTIDOS!$A:$I,7,FALSE)),3,1),0),"")</f>
        <v/>
      </c>
    </row>
    <row r="1422" ht="20.1" customHeight="1">
      <c r="A1422" s="12" t="inlineStr">
        <is>
          <t>Jugador 20</t>
        </is>
      </c>
      <c r="B1422" s="8" t="inlineStr">
        <is>
          <t>M53</t>
        </is>
      </c>
      <c r="C1422" s="12" t="inlineStr">
        <is>
          <t>República Checa</t>
        </is>
      </c>
      <c r="D1422" s="12" t="inlineStr">
        <is>
          <t>Irán</t>
        </is>
      </c>
      <c r="E1422" s="8" t="n"/>
      <c r="F1422" s="8" t="n"/>
      <c r="G1422" s="8">
        <f>IF(OR(ISBLANK(E1422),ISBLANK(F1422)),"",IF(E1422&gt;F1422,"Local",IF(E1422=F1422,"Empate","Visitante")))</f>
        <v/>
      </c>
      <c r="H1422" s="8">
        <f>IF(VLOOKUP(B1422,PARTIDOS!$A:$I,9,FALSE)="Cerrado",IF(G1422=VLOOKUP(B1422,PARTIDOS!$A:$I,8,FALSE),IF(AND(E1422=VLOOKUP(B1422,PARTIDOS!$A:$I,6,FALSE),F1422=VLOOKUP(B1422,PARTIDOS!$A:$I,7,FALSE)),3,1),0),"")</f>
        <v/>
      </c>
    </row>
    <row r="1423" ht="20.1" customHeight="1">
      <c r="A1423" s="12" t="inlineStr">
        <is>
          <t>Jugador 20</t>
        </is>
      </c>
      <c r="B1423" s="8" t="inlineStr">
        <is>
          <t>M54</t>
        </is>
      </c>
      <c r="C1423" s="12" t="inlineStr">
        <is>
          <t>Noruega</t>
        </is>
      </c>
      <c r="D1423" s="12" t="inlineStr">
        <is>
          <t>Japón</t>
        </is>
      </c>
      <c r="E1423" s="8" t="n"/>
      <c r="F1423" s="8" t="n"/>
      <c r="G1423" s="8">
        <f>IF(OR(ISBLANK(E1423),ISBLANK(F1423)),"",IF(E1423&gt;F1423,"Local",IF(E1423=F1423,"Empate","Visitante")))</f>
        <v/>
      </c>
      <c r="H1423" s="8">
        <f>IF(VLOOKUP(B1423,PARTIDOS!$A:$I,9,FALSE)="Cerrado",IF(G1423=VLOOKUP(B1423,PARTIDOS!$A:$I,8,FALSE),IF(AND(E1423=VLOOKUP(B1423,PARTIDOS!$A:$I,6,FALSE),F1423=VLOOKUP(B1423,PARTIDOS!$A:$I,7,FALSE)),3,1),0),"")</f>
        <v/>
      </c>
    </row>
    <row r="1424" ht="20.1" customHeight="1">
      <c r="A1424" s="12" t="inlineStr">
        <is>
          <t>Jugador 20</t>
        </is>
      </c>
      <c r="B1424" s="8" t="inlineStr">
        <is>
          <t>M55</t>
        </is>
      </c>
      <c r="C1424" s="12" t="inlineStr">
        <is>
          <t>Corea del Sur</t>
        </is>
      </c>
      <c r="D1424" s="12" t="inlineStr">
        <is>
          <t>Australia</t>
        </is>
      </c>
      <c r="E1424" s="8" t="n"/>
      <c r="F1424" s="8" t="n"/>
      <c r="G1424" s="8">
        <f>IF(OR(ISBLANK(E1424),ISBLANK(F1424)),"",IF(E1424&gt;F1424,"Local",IF(E1424=F1424,"Empate","Visitante")))</f>
        <v/>
      </c>
      <c r="H1424" s="8">
        <f>IF(VLOOKUP(B1424,PARTIDOS!$A:$I,9,FALSE)="Cerrado",IF(G1424=VLOOKUP(B1424,PARTIDOS!$A:$I,8,FALSE),IF(AND(E1424=VLOOKUP(B1424,PARTIDOS!$A:$I,6,FALSE),F1424=VLOOKUP(B1424,PARTIDOS!$A:$I,7,FALSE)),3,1),0),"")</f>
        <v/>
      </c>
    </row>
    <row r="1425" ht="20.1" customHeight="1">
      <c r="A1425" s="12" t="inlineStr">
        <is>
          <t>Jugador 20</t>
        </is>
      </c>
      <c r="B1425" s="8" t="inlineStr">
        <is>
          <t>M56</t>
        </is>
      </c>
      <c r="C1425" s="12" t="inlineStr">
        <is>
          <t>Marruecos</t>
        </is>
      </c>
      <c r="D1425" s="12" t="inlineStr">
        <is>
          <t>Senegal</t>
        </is>
      </c>
      <c r="E1425" s="8" t="n"/>
      <c r="F1425" s="8" t="n"/>
      <c r="G1425" s="8">
        <f>IF(OR(ISBLANK(E1425),ISBLANK(F1425)),"",IF(E1425&gt;F1425,"Local",IF(E1425=F1425,"Empate","Visitante")))</f>
        <v/>
      </c>
      <c r="H1425" s="8">
        <f>IF(VLOOKUP(B1425,PARTIDOS!$A:$I,9,FALSE)="Cerrado",IF(G1425=VLOOKUP(B1425,PARTIDOS!$A:$I,8,FALSE),IF(AND(E1425=VLOOKUP(B1425,PARTIDOS!$A:$I,6,FALSE),F1425=VLOOKUP(B1425,PARTIDOS!$A:$I,7,FALSE)),3,1),0),"")</f>
        <v/>
      </c>
    </row>
    <row r="1426" ht="20.1" customHeight="1">
      <c r="A1426" s="12" t="inlineStr">
        <is>
          <t>Jugador 20</t>
        </is>
      </c>
      <c r="B1426" s="8" t="inlineStr">
        <is>
          <t>M57</t>
        </is>
      </c>
      <c r="C1426" s="12" t="inlineStr">
        <is>
          <t>Corea del Sur</t>
        </is>
      </c>
      <c r="D1426" s="12" t="inlineStr">
        <is>
          <t>Marruecos</t>
        </is>
      </c>
      <c r="E1426" s="8" t="n"/>
      <c r="F1426" s="8" t="n"/>
      <c r="G1426" s="8">
        <f>IF(OR(ISBLANK(E1426),ISBLANK(F1426)),"",IF(E1426&gt;F1426,"Local",IF(E1426=F1426,"Empate","Visitante")))</f>
        <v/>
      </c>
      <c r="H1426" s="8">
        <f>IF(VLOOKUP(B1426,PARTIDOS!$A:$I,9,FALSE)="Cerrado",IF(G1426=VLOOKUP(B1426,PARTIDOS!$A:$I,8,FALSE),IF(AND(E1426=VLOOKUP(B1426,PARTIDOS!$A:$I,6,FALSE),F1426=VLOOKUP(B1426,PARTIDOS!$A:$I,7,FALSE)),3,1),0),"")</f>
        <v/>
      </c>
    </row>
    <row r="1427" ht="20.1" customHeight="1">
      <c r="A1427" s="12" t="inlineStr">
        <is>
          <t>Jugador 20</t>
        </is>
      </c>
      <c r="B1427" s="8" t="inlineStr">
        <is>
          <t>M58</t>
        </is>
      </c>
      <c r="C1427" s="12" t="inlineStr">
        <is>
          <t>Australia</t>
        </is>
      </c>
      <c r="D1427" s="12" t="inlineStr">
        <is>
          <t>Senegal</t>
        </is>
      </c>
      <c r="E1427" s="8" t="n"/>
      <c r="F1427" s="8" t="n"/>
      <c r="G1427" s="8">
        <f>IF(OR(ISBLANK(E1427),ISBLANK(F1427)),"",IF(E1427&gt;F1427,"Local",IF(E1427=F1427,"Empate","Visitante")))</f>
        <v/>
      </c>
      <c r="H1427" s="8">
        <f>IF(VLOOKUP(B1427,PARTIDOS!$A:$I,9,FALSE)="Cerrado",IF(G1427=VLOOKUP(B1427,PARTIDOS!$A:$I,8,FALSE),IF(AND(E1427=VLOOKUP(B1427,PARTIDOS!$A:$I,6,FALSE),F1427=VLOOKUP(B1427,PARTIDOS!$A:$I,7,FALSE)),3,1),0),"")</f>
        <v/>
      </c>
    </row>
    <row r="1428" ht="20.1" customHeight="1">
      <c r="A1428" s="12" t="inlineStr">
        <is>
          <t>Jugador 20</t>
        </is>
      </c>
      <c r="B1428" s="8" t="inlineStr">
        <is>
          <t>M59</t>
        </is>
      </c>
      <c r="C1428" s="12" t="inlineStr">
        <is>
          <t>Corea del Sur</t>
        </is>
      </c>
      <c r="D1428" s="12" t="inlineStr">
        <is>
          <t>Senegal</t>
        </is>
      </c>
      <c r="E1428" s="8" t="n"/>
      <c r="F1428" s="8" t="n"/>
      <c r="G1428" s="8">
        <f>IF(OR(ISBLANK(E1428),ISBLANK(F1428)),"",IF(E1428&gt;F1428,"Local",IF(E1428=F1428,"Empate","Visitante")))</f>
        <v/>
      </c>
      <c r="H1428" s="8">
        <f>IF(VLOOKUP(B1428,PARTIDOS!$A:$I,9,FALSE)="Cerrado",IF(G1428=VLOOKUP(B1428,PARTIDOS!$A:$I,8,FALSE),IF(AND(E1428=VLOOKUP(B1428,PARTIDOS!$A:$I,6,FALSE),F1428=VLOOKUP(B1428,PARTIDOS!$A:$I,7,FALSE)),3,1),0),"")</f>
        <v/>
      </c>
    </row>
    <row r="1429" ht="20.1" customHeight="1">
      <c r="A1429" s="12" t="inlineStr">
        <is>
          <t>Jugador 20</t>
        </is>
      </c>
      <c r="B1429" s="8" t="inlineStr">
        <is>
          <t>M60</t>
        </is>
      </c>
      <c r="C1429" s="12" t="inlineStr">
        <is>
          <t>Australia</t>
        </is>
      </c>
      <c r="D1429" s="12" t="inlineStr">
        <is>
          <t>Marruecos</t>
        </is>
      </c>
      <c r="E1429" s="8" t="n"/>
      <c r="F1429" s="8" t="n"/>
      <c r="G1429" s="8">
        <f>IF(OR(ISBLANK(E1429),ISBLANK(F1429)),"",IF(E1429&gt;F1429,"Local",IF(E1429=F1429,"Empate","Visitante")))</f>
        <v/>
      </c>
      <c r="H1429" s="8">
        <f>IF(VLOOKUP(B1429,PARTIDOS!$A:$I,9,FALSE)="Cerrado",IF(G1429=VLOOKUP(B1429,PARTIDOS!$A:$I,8,FALSE),IF(AND(E1429=VLOOKUP(B1429,PARTIDOS!$A:$I,6,FALSE),F1429=VLOOKUP(B1429,PARTIDOS!$A:$I,7,FALSE)),3,1),0),"")</f>
        <v/>
      </c>
    </row>
    <row r="1430" ht="20.1" customHeight="1">
      <c r="A1430" s="12" t="inlineStr">
        <is>
          <t>Jugador 20</t>
        </is>
      </c>
      <c r="B1430" s="8" t="inlineStr">
        <is>
          <t>M61</t>
        </is>
      </c>
      <c r="C1430" s="12" t="inlineStr">
        <is>
          <t>Túnez</t>
        </is>
      </c>
      <c r="D1430" s="12" t="inlineStr">
        <is>
          <t>Nigeria</t>
        </is>
      </c>
      <c r="E1430" s="8" t="n"/>
      <c r="F1430" s="8" t="n"/>
      <c r="G1430" s="8">
        <f>IF(OR(ISBLANK(E1430),ISBLANK(F1430)),"",IF(E1430&gt;F1430,"Local",IF(E1430=F1430,"Empate","Visitante")))</f>
        <v/>
      </c>
      <c r="H1430" s="8">
        <f>IF(VLOOKUP(B1430,PARTIDOS!$A:$I,9,FALSE)="Cerrado",IF(G1430=VLOOKUP(B1430,PARTIDOS!$A:$I,8,FALSE),IF(AND(E1430=VLOOKUP(B1430,PARTIDOS!$A:$I,6,FALSE),F1430=VLOOKUP(B1430,PARTIDOS!$A:$I,7,FALSE)),3,1),0),"")</f>
        <v/>
      </c>
    </row>
    <row r="1431" ht="20.1" customHeight="1">
      <c r="A1431" s="12" t="inlineStr">
        <is>
          <t>Jugador 20</t>
        </is>
      </c>
      <c r="B1431" s="8" t="inlineStr">
        <is>
          <t>M62</t>
        </is>
      </c>
      <c r="C1431" s="12" t="inlineStr">
        <is>
          <t>Camerún</t>
        </is>
      </c>
      <c r="D1431" s="12" t="inlineStr">
        <is>
          <t>Egipto</t>
        </is>
      </c>
      <c r="E1431" s="8" t="n"/>
      <c r="F1431" s="8" t="n"/>
      <c r="G1431" s="8">
        <f>IF(OR(ISBLANK(E1431),ISBLANK(F1431)),"",IF(E1431&gt;F1431,"Local",IF(E1431=F1431,"Empate","Visitante")))</f>
        <v/>
      </c>
      <c r="H1431" s="8">
        <f>IF(VLOOKUP(B1431,PARTIDOS!$A:$I,9,FALSE)="Cerrado",IF(G1431=VLOOKUP(B1431,PARTIDOS!$A:$I,8,FALSE),IF(AND(E1431=VLOOKUP(B1431,PARTIDOS!$A:$I,6,FALSE),F1431=VLOOKUP(B1431,PARTIDOS!$A:$I,7,FALSE)),3,1),0),"")</f>
        <v/>
      </c>
    </row>
    <row r="1432" ht="20.1" customHeight="1">
      <c r="A1432" s="12" t="inlineStr">
        <is>
          <t>Jugador 20</t>
        </is>
      </c>
      <c r="B1432" s="8" t="inlineStr">
        <is>
          <t>M63</t>
        </is>
      </c>
      <c r="C1432" s="12" t="inlineStr">
        <is>
          <t>Túnez</t>
        </is>
      </c>
      <c r="D1432" s="12" t="inlineStr">
        <is>
          <t>Camerún</t>
        </is>
      </c>
      <c r="E1432" s="8" t="n"/>
      <c r="F1432" s="8" t="n"/>
      <c r="G1432" s="8">
        <f>IF(OR(ISBLANK(E1432),ISBLANK(F1432)),"",IF(E1432&gt;F1432,"Local",IF(E1432=F1432,"Empate","Visitante")))</f>
        <v/>
      </c>
      <c r="H1432" s="8">
        <f>IF(VLOOKUP(B1432,PARTIDOS!$A:$I,9,FALSE)="Cerrado",IF(G1432=VLOOKUP(B1432,PARTIDOS!$A:$I,8,FALSE),IF(AND(E1432=VLOOKUP(B1432,PARTIDOS!$A:$I,6,FALSE),F1432=VLOOKUP(B1432,PARTIDOS!$A:$I,7,FALSE)),3,1),0),"")</f>
        <v/>
      </c>
    </row>
    <row r="1433" ht="20.1" customHeight="1">
      <c r="A1433" s="12" t="inlineStr">
        <is>
          <t>Jugador 20</t>
        </is>
      </c>
      <c r="B1433" s="8" t="inlineStr">
        <is>
          <t>M64</t>
        </is>
      </c>
      <c r="C1433" s="12" t="inlineStr">
        <is>
          <t>Nigeria</t>
        </is>
      </c>
      <c r="D1433" s="12" t="inlineStr">
        <is>
          <t>Egipto</t>
        </is>
      </c>
      <c r="E1433" s="8" t="n"/>
      <c r="F1433" s="8" t="n"/>
      <c r="G1433" s="8">
        <f>IF(OR(ISBLANK(E1433),ISBLANK(F1433)),"",IF(E1433&gt;F1433,"Local",IF(E1433=F1433,"Empate","Visitante")))</f>
        <v/>
      </c>
      <c r="H1433" s="8">
        <f>IF(VLOOKUP(B1433,PARTIDOS!$A:$I,9,FALSE)="Cerrado",IF(G1433=VLOOKUP(B1433,PARTIDOS!$A:$I,8,FALSE),IF(AND(E1433=VLOOKUP(B1433,PARTIDOS!$A:$I,6,FALSE),F1433=VLOOKUP(B1433,PARTIDOS!$A:$I,7,FALSE)),3,1),0),"")</f>
        <v/>
      </c>
    </row>
    <row r="1434" ht="20.1" customHeight="1">
      <c r="A1434" s="12" t="inlineStr">
        <is>
          <t>Jugador 20</t>
        </is>
      </c>
      <c r="B1434" s="8" t="inlineStr">
        <is>
          <t>M65</t>
        </is>
      </c>
      <c r="C1434" s="12" t="inlineStr">
        <is>
          <t>Túnez</t>
        </is>
      </c>
      <c r="D1434" s="12" t="inlineStr">
        <is>
          <t>Egipto</t>
        </is>
      </c>
      <c r="E1434" s="8" t="n"/>
      <c r="F1434" s="8" t="n"/>
      <c r="G1434" s="8">
        <f>IF(OR(ISBLANK(E1434),ISBLANK(F1434)),"",IF(E1434&gt;F1434,"Local",IF(E1434=F1434,"Empate","Visitante")))</f>
        <v/>
      </c>
      <c r="H1434" s="8">
        <f>IF(VLOOKUP(B1434,PARTIDOS!$A:$I,9,FALSE)="Cerrado",IF(G1434=VLOOKUP(B1434,PARTIDOS!$A:$I,8,FALSE),IF(AND(E1434=VLOOKUP(B1434,PARTIDOS!$A:$I,6,FALSE),F1434=VLOOKUP(B1434,PARTIDOS!$A:$I,7,FALSE)),3,1),0),"")</f>
        <v/>
      </c>
    </row>
    <row r="1435" ht="20.1" customHeight="1">
      <c r="A1435" s="12" t="inlineStr">
        <is>
          <t>Jugador 20</t>
        </is>
      </c>
      <c r="B1435" s="8" t="inlineStr">
        <is>
          <t>M66</t>
        </is>
      </c>
      <c r="C1435" s="12" t="inlineStr">
        <is>
          <t>Nigeria</t>
        </is>
      </c>
      <c r="D1435" s="12" t="inlineStr">
        <is>
          <t>Camerún</t>
        </is>
      </c>
      <c r="E1435" s="8" t="n"/>
      <c r="F1435" s="8" t="n"/>
      <c r="G1435" s="8">
        <f>IF(OR(ISBLANK(E1435),ISBLANK(F1435)),"",IF(E1435&gt;F1435,"Local",IF(E1435=F1435,"Empate","Visitante")))</f>
        <v/>
      </c>
      <c r="H1435" s="8">
        <f>IF(VLOOKUP(B1435,PARTIDOS!$A:$I,9,FALSE)="Cerrado",IF(G1435=VLOOKUP(B1435,PARTIDOS!$A:$I,8,FALSE),IF(AND(E1435=VLOOKUP(B1435,PARTIDOS!$A:$I,6,FALSE),F1435=VLOOKUP(B1435,PARTIDOS!$A:$I,7,FALSE)),3,1),0),"")</f>
        <v/>
      </c>
    </row>
    <row r="1436" ht="20.1" customHeight="1">
      <c r="A1436" s="12" t="inlineStr">
        <is>
          <t>Jugador 20</t>
        </is>
      </c>
      <c r="B1436" s="8" t="inlineStr">
        <is>
          <t>M67</t>
        </is>
      </c>
      <c r="C1436" s="12" t="inlineStr">
        <is>
          <t>Costa de Marfil</t>
        </is>
      </c>
      <c r="D1436" s="12" t="inlineStr">
        <is>
          <t>Sudáfrica</t>
        </is>
      </c>
      <c r="E1436" s="8" t="n"/>
      <c r="F1436" s="8" t="n"/>
      <c r="G1436" s="8">
        <f>IF(OR(ISBLANK(E1436),ISBLANK(F1436)),"",IF(E1436&gt;F1436,"Local",IF(E1436=F1436,"Empate","Visitante")))</f>
        <v/>
      </c>
      <c r="H1436" s="8">
        <f>IF(VLOOKUP(B1436,PARTIDOS!$A:$I,9,FALSE)="Cerrado",IF(G1436=VLOOKUP(B1436,PARTIDOS!$A:$I,8,FALSE),IF(AND(E1436=VLOOKUP(B1436,PARTIDOS!$A:$I,6,FALSE),F1436=VLOOKUP(B1436,PARTIDOS!$A:$I,7,FALSE)),3,1),0),"")</f>
        <v/>
      </c>
    </row>
    <row r="1437" ht="20.1" customHeight="1">
      <c r="A1437" s="12" t="inlineStr">
        <is>
          <t>Jugador 20</t>
        </is>
      </c>
      <c r="B1437" s="8" t="inlineStr">
        <is>
          <t>M68</t>
        </is>
      </c>
      <c r="C1437" s="12" t="inlineStr">
        <is>
          <t>Panáma</t>
        </is>
      </c>
      <c r="D1437" s="12" t="inlineStr">
        <is>
          <t>Nueva Zelanda</t>
        </is>
      </c>
      <c r="E1437" s="8" t="n"/>
      <c r="F1437" s="8" t="n"/>
      <c r="G1437" s="8">
        <f>IF(OR(ISBLANK(E1437),ISBLANK(F1437)),"",IF(E1437&gt;F1437,"Local",IF(E1437=F1437,"Empate","Visitante")))</f>
        <v/>
      </c>
      <c r="H1437" s="8">
        <f>IF(VLOOKUP(B1437,PARTIDOS!$A:$I,9,FALSE)="Cerrado",IF(G1437=VLOOKUP(B1437,PARTIDOS!$A:$I,8,FALSE),IF(AND(E1437=VLOOKUP(B1437,PARTIDOS!$A:$I,6,FALSE),F1437=VLOOKUP(B1437,PARTIDOS!$A:$I,7,FALSE)),3,1),0),"")</f>
        <v/>
      </c>
    </row>
    <row r="1438" ht="20.1" customHeight="1">
      <c r="A1438" s="12" t="inlineStr">
        <is>
          <t>Jugador 20</t>
        </is>
      </c>
      <c r="B1438" s="8" t="inlineStr">
        <is>
          <t>M69</t>
        </is>
      </c>
      <c r="C1438" s="12" t="inlineStr">
        <is>
          <t>Costa de Marfil</t>
        </is>
      </c>
      <c r="D1438" s="12" t="inlineStr">
        <is>
          <t>Panáma</t>
        </is>
      </c>
      <c r="E1438" s="8" t="n"/>
      <c r="F1438" s="8" t="n"/>
      <c r="G1438" s="8">
        <f>IF(OR(ISBLANK(E1438),ISBLANK(F1438)),"",IF(E1438&gt;F1438,"Local",IF(E1438=F1438,"Empate","Visitante")))</f>
        <v/>
      </c>
      <c r="H1438" s="8">
        <f>IF(VLOOKUP(B1438,PARTIDOS!$A:$I,9,FALSE)="Cerrado",IF(G1438=VLOOKUP(B1438,PARTIDOS!$A:$I,8,FALSE),IF(AND(E1438=VLOOKUP(B1438,PARTIDOS!$A:$I,6,FALSE),F1438=VLOOKUP(B1438,PARTIDOS!$A:$I,7,FALSE)),3,1),0),"")</f>
        <v/>
      </c>
    </row>
    <row r="1439" ht="20.1" customHeight="1">
      <c r="A1439" s="12" t="inlineStr">
        <is>
          <t>Jugador 20</t>
        </is>
      </c>
      <c r="B1439" s="8" t="inlineStr">
        <is>
          <t>M70</t>
        </is>
      </c>
      <c r="C1439" s="12" t="inlineStr">
        <is>
          <t>Sudáfrica</t>
        </is>
      </c>
      <c r="D1439" s="12" t="inlineStr">
        <is>
          <t>Nueva Zelanda</t>
        </is>
      </c>
      <c r="E1439" s="8" t="n"/>
      <c r="F1439" s="8" t="n"/>
      <c r="G1439" s="8">
        <f>IF(OR(ISBLANK(E1439),ISBLANK(F1439)),"",IF(E1439&gt;F1439,"Local",IF(E1439=F1439,"Empate","Visitante")))</f>
        <v/>
      </c>
      <c r="H1439" s="8">
        <f>IF(VLOOKUP(B1439,PARTIDOS!$A:$I,9,FALSE)="Cerrado",IF(G1439=VLOOKUP(B1439,PARTIDOS!$A:$I,8,FALSE),IF(AND(E1439=VLOOKUP(B1439,PARTIDOS!$A:$I,6,FALSE),F1439=VLOOKUP(B1439,PARTIDOS!$A:$I,7,FALSE)),3,1),0),"")</f>
        <v/>
      </c>
    </row>
    <row r="1440" ht="20.1" customHeight="1">
      <c r="A1440" s="12" t="inlineStr">
        <is>
          <t>Jugador 20</t>
        </is>
      </c>
      <c r="B1440" s="8" t="inlineStr">
        <is>
          <t>M71</t>
        </is>
      </c>
      <c r="C1440" s="12" t="inlineStr">
        <is>
          <t>Costa de Marfil</t>
        </is>
      </c>
      <c r="D1440" s="12" t="inlineStr">
        <is>
          <t>Nueva Zelanda</t>
        </is>
      </c>
      <c r="E1440" s="8" t="n"/>
      <c r="F1440" s="8" t="n"/>
      <c r="G1440" s="8">
        <f>IF(OR(ISBLANK(E1440),ISBLANK(F1440)),"",IF(E1440&gt;F1440,"Local",IF(E1440=F1440,"Empate","Visitante")))</f>
        <v/>
      </c>
      <c r="H1440" s="8">
        <f>IF(VLOOKUP(B1440,PARTIDOS!$A:$I,9,FALSE)="Cerrado",IF(G1440=VLOOKUP(B1440,PARTIDOS!$A:$I,8,FALSE),IF(AND(E1440=VLOOKUP(B1440,PARTIDOS!$A:$I,6,FALSE),F1440=VLOOKUP(B1440,PARTIDOS!$A:$I,7,FALSE)),3,1),0),"")</f>
        <v/>
      </c>
    </row>
    <row r="1441" ht="20.1" customHeight="1">
      <c r="A1441" s="12" t="inlineStr">
        <is>
          <t>Jugador 20</t>
        </is>
      </c>
      <c r="B1441" s="8" t="inlineStr">
        <is>
          <t>M72</t>
        </is>
      </c>
      <c r="C1441" s="12" t="inlineStr">
        <is>
          <t>Sudáfrica</t>
        </is>
      </c>
      <c r="D1441" s="12" t="inlineStr">
        <is>
          <t>Panáma</t>
        </is>
      </c>
      <c r="E1441" s="8" t="n"/>
      <c r="F1441" s="8" t="n"/>
      <c r="G1441" s="8">
        <f>IF(OR(ISBLANK(E1441),ISBLANK(F1441)),"",IF(E1441&gt;F1441,"Local",IF(E1441=F1441,"Empate","Visitante")))</f>
        <v/>
      </c>
      <c r="H1441" s="8">
        <f>IF(VLOOKUP(B1441,PARTIDOS!$A:$I,9,FALSE)="Cerrado",IF(G1441=VLOOKUP(B1441,PARTIDOS!$A:$I,8,FALSE),IF(AND(E1441=VLOOKUP(B1441,PARTIDOS!$A:$I,6,FALSE),F1441=VLOOKUP(B1441,PARTIDOS!$A:$I,7,FALSE)),3,1),0),"")</f>
        <v/>
      </c>
    </row>
  </sheetData>
  <conditionalFormatting sqref="H2:H1441">
    <cfRule type="cellIs" priority="1" operator="equal" dxfId="2">
      <formula>3</formula>
    </cfRule>
    <cfRule type="cellIs" priority="2" operator="equal" dxfId="1">
      <formula>1</formula>
    </cfRule>
    <cfRule type="cellIs" priority="3" operator="equal" dxfId="0">
      <formula>0</formula>
    </cfRule>
  </conditionalFormatting>
  <dataValidations count="1">
    <dataValidation sqref="E2:F1441 F2:G73" showDropDown="0" showInputMessage="0" showErrorMessage="0" allowBlank="1" errorTitle="Entrada inválida" error="El valor debe ser un número entero entre 0 y 15." promptTitle="Goles" prompt="Introduce un valor entre 0 y 15" type="whole">
      <formula1>0</formula1>
      <formula2>15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8828125" customWidth="1" min="1" max="1"/>
    <col width="16.0078125" customWidth="1" min="2" max="2"/>
    <col width="16.94921875" customWidth="1" min="3" max="4"/>
    <col width="13.98828125" customWidth="1" min="5" max="5"/>
  </cols>
  <sheetData>
    <row r="1" ht="26.1" customHeight="1">
      <c r="A1" s="4" t="inlineStr">
        <is>
          <t>Nombre</t>
        </is>
      </c>
      <c r="B1" s="4" t="inlineStr">
        <is>
          <t>Total Puntos</t>
        </is>
      </c>
      <c r="C1" s="4" t="inlineStr">
        <is>
          <t>Aciertos 3pts</t>
        </is>
      </c>
      <c r="D1" s="4" t="inlineStr">
        <is>
          <t>Aciertos 1pts</t>
        </is>
      </c>
      <c r="E1" s="4" t="inlineStr">
        <is>
          <t>Posición</t>
        </is>
      </c>
    </row>
    <row r="2" ht="20.1" customHeight="1">
      <c r="A2" s="7" t="inlineStr">
        <is>
          <t>Jugador 1</t>
        </is>
      </c>
      <c r="B2" s="13">
        <f>SUMIF(PRONÓSTICOS!$A:$A,A2,PRONÓSTICOS!$H:$H)</f>
        <v/>
      </c>
      <c r="C2" s="13">
        <f>COUNTIFS(PRONÓSTICOS!$A:$A,A2,PRONÓSTICOS!$H:$H,3)</f>
        <v/>
      </c>
      <c r="D2" s="13">
        <f>COUNTIFS(PRONÓSTICOS!$A:$A,A2,PRONÓSTICOS!$H:$H,1)</f>
        <v/>
      </c>
      <c r="E2" s="5">
        <f>_xludf.RANK.EQ(B2,B$2:B$21)</f>
        <v/>
      </c>
    </row>
    <row r="3" ht="20.1" customHeight="1">
      <c r="A3" s="11" t="inlineStr">
        <is>
          <t>Jugador 2</t>
        </is>
      </c>
      <c r="B3" s="14">
        <f>SUMIF(PRONÓSTICOS!$A:$A,A3,PRONÓSTICOS!$H:$H)</f>
        <v/>
      </c>
      <c r="C3" s="14">
        <f>COUNTIFS(PRONÓSTICOS!$A:$A,A3,PRONÓSTICOS!$H:$H,3)</f>
        <v/>
      </c>
      <c r="D3" s="14">
        <f>COUNTIFS(PRONÓSTICOS!$A:$A,A3,PRONÓSTICOS!$H:$H,1)</f>
        <v/>
      </c>
      <c r="E3" s="9">
        <f>_xludf.RANK.EQ(B3,B$2:B$21)</f>
        <v/>
      </c>
    </row>
    <row r="4" ht="20.1" customHeight="1">
      <c r="A4" s="7" t="inlineStr">
        <is>
          <t>Jugador 3</t>
        </is>
      </c>
      <c r="B4" s="13">
        <f>SUMIF(PRONÓSTICOS!$A:$A,A4,PRONÓSTICOS!$H:$H)</f>
        <v/>
      </c>
      <c r="C4" s="13">
        <f>COUNTIFS(PRONÓSTICOS!$A:$A,A4,PRONÓSTICOS!$H:$H,3)</f>
        <v/>
      </c>
      <c r="D4" s="13">
        <f>COUNTIFS(PRONÓSTICOS!$A:$A,A4,PRONÓSTICOS!$H:$H,1)</f>
        <v/>
      </c>
      <c r="E4" s="5">
        <f>_xludf.RANK.EQ(B4,B$2:B$21)</f>
        <v/>
      </c>
    </row>
    <row r="5" ht="20.1" customHeight="1">
      <c r="A5" s="11" t="inlineStr">
        <is>
          <t>Jugador 4</t>
        </is>
      </c>
      <c r="B5" s="14">
        <f>SUMIF(PRONÓSTICOS!$A:$A,A5,PRONÓSTICOS!$H:$H)</f>
        <v/>
      </c>
      <c r="C5" s="14">
        <f>COUNTIFS(PRONÓSTICOS!$A:$A,A5,PRONÓSTICOS!$H:$H,3)</f>
        <v/>
      </c>
      <c r="D5" s="14">
        <f>COUNTIFS(PRONÓSTICOS!$A:$A,A5,PRONÓSTICOS!$H:$H,1)</f>
        <v/>
      </c>
      <c r="E5" s="9">
        <f>_xludf.RANK.EQ(B5,B$2:B$21)</f>
        <v/>
      </c>
    </row>
    <row r="6" ht="20.1" customHeight="1">
      <c r="A6" s="7" t="inlineStr">
        <is>
          <t>Jugador 5</t>
        </is>
      </c>
      <c r="B6" s="13">
        <f>SUMIF(PRONÓSTICOS!$A:$A,A6,PRONÓSTICOS!$H:$H)</f>
        <v/>
      </c>
      <c r="C6" s="13">
        <f>COUNTIFS(PRONÓSTICOS!$A:$A,A6,PRONÓSTICOS!$H:$H,3)</f>
        <v/>
      </c>
      <c r="D6" s="13">
        <f>COUNTIFS(PRONÓSTICOS!$A:$A,A6,PRONÓSTICOS!$H:$H,1)</f>
        <v/>
      </c>
      <c r="E6" s="5">
        <f>_xludf.RANK.EQ(B6,B$2:B$21)</f>
        <v/>
      </c>
    </row>
    <row r="7" ht="20.1" customHeight="1">
      <c r="A7" s="11" t="inlineStr">
        <is>
          <t>Jugador 6</t>
        </is>
      </c>
      <c r="B7" s="14">
        <f>SUMIF(PRONÓSTICOS!$A:$A,A7,PRONÓSTICOS!$H:$H)</f>
        <v/>
      </c>
      <c r="C7" s="14">
        <f>COUNTIFS(PRONÓSTICOS!$A:$A,A7,PRONÓSTICOS!$H:$H,3)</f>
        <v/>
      </c>
      <c r="D7" s="14">
        <f>COUNTIFS(PRONÓSTICOS!$A:$A,A7,PRONÓSTICOS!$H:$H,1)</f>
        <v/>
      </c>
      <c r="E7" s="9">
        <f>_xludf.RANK.EQ(B7,B$2:B$21)</f>
        <v/>
      </c>
    </row>
    <row r="8" ht="20.1" customHeight="1">
      <c r="A8" s="7" t="inlineStr">
        <is>
          <t>Jugador 7</t>
        </is>
      </c>
      <c r="B8" s="13">
        <f>SUMIF(PRONÓSTICOS!$A:$A,A8,PRONÓSTICOS!$H:$H)</f>
        <v/>
      </c>
      <c r="C8" s="13">
        <f>COUNTIFS(PRONÓSTICOS!$A:$A,A8,PRONÓSTICOS!$H:$H,3)</f>
        <v/>
      </c>
      <c r="D8" s="13">
        <f>COUNTIFS(PRONÓSTICOS!$A:$A,A8,PRONÓSTICOS!$H:$H,1)</f>
        <v/>
      </c>
      <c r="E8" s="5">
        <f>_xludf.RANK.EQ(B8,B$2:B$21)</f>
        <v/>
      </c>
    </row>
    <row r="9" ht="20.1" customHeight="1">
      <c r="A9" s="11" t="inlineStr">
        <is>
          <t>Jugador 8</t>
        </is>
      </c>
      <c r="B9" s="14">
        <f>SUMIF(PRONÓSTICOS!$A:$A,A9,PRONÓSTICOS!$H:$H)</f>
        <v/>
      </c>
      <c r="C9" s="14">
        <f>COUNTIFS(PRONÓSTICOS!$A:$A,A9,PRONÓSTICOS!$H:$H,3)</f>
        <v/>
      </c>
      <c r="D9" s="14">
        <f>COUNTIFS(PRONÓSTICOS!$A:$A,A9,PRONÓSTICOS!$H:$H,1)</f>
        <v/>
      </c>
      <c r="E9" s="9">
        <f>_xludf.RANK.EQ(B9,B$2:B$21)</f>
        <v/>
      </c>
    </row>
    <row r="10" ht="20.1" customHeight="1">
      <c r="A10" s="7" t="inlineStr">
        <is>
          <t>Jugador 9</t>
        </is>
      </c>
      <c r="B10" s="13">
        <f>SUMIF(PRONÓSTICOS!$A:$A,A10,PRONÓSTICOS!$H:$H)</f>
        <v/>
      </c>
      <c r="C10" s="13">
        <f>COUNTIFS(PRONÓSTICOS!$A:$A,A10,PRONÓSTICOS!$H:$H,3)</f>
        <v/>
      </c>
      <c r="D10" s="13">
        <f>COUNTIFS(PRONÓSTICOS!$A:$A,A10,PRONÓSTICOS!$H:$H,1)</f>
        <v/>
      </c>
      <c r="E10" s="5">
        <f>_xludf.RANK.EQ(B10,B$2:B$21)</f>
        <v/>
      </c>
    </row>
    <row r="11" ht="20.1" customHeight="1">
      <c r="A11" s="11" t="inlineStr">
        <is>
          <t>Jugador 10</t>
        </is>
      </c>
      <c r="B11" s="14">
        <f>SUMIF(PRONÓSTICOS!$A:$A,A11,PRONÓSTICOS!$H:$H)</f>
        <v/>
      </c>
      <c r="C11" s="14">
        <f>COUNTIFS(PRONÓSTICOS!$A:$A,A11,PRONÓSTICOS!$H:$H,3)</f>
        <v/>
      </c>
      <c r="D11" s="14">
        <f>COUNTIFS(PRONÓSTICOS!$A:$A,A11,PRONÓSTICOS!$H:$H,1)</f>
        <v/>
      </c>
      <c r="E11" s="9">
        <f>_xludf.RANK.EQ(B11,B$2:B$21)</f>
        <v/>
      </c>
    </row>
    <row r="12" ht="20.1" customHeight="1">
      <c r="A12" s="7" t="inlineStr">
        <is>
          <t>Jugador 11</t>
        </is>
      </c>
      <c r="B12" s="13">
        <f>SUMIF(PRONÓSTICOS!$A:$A,A12,PRONÓSTICOS!$H:$H)</f>
        <v/>
      </c>
      <c r="C12" s="13">
        <f>COUNTIFS(PRONÓSTICOS!$A:$A,A12,PRONÓSTICOS!$H:$H,3)</f>
        <v/>
      </c>
      <c r="D12" s="13">
        <f>COUNTIFS(PRONÓSTICOS!$A:$A,A12,PRONÓSTICOS!$H:$H,1)</f>
        <v/>
      </c>
      <c r="E12" s="5">
        <f>_xludf.RANK.EQ(B12,B$2:B$21)</f>
        <v/>
      </c>
    </row>
    <row r="13" ht="20.1" customHeight="1">
      <c r="A13" s="11" t="inlineStr">
        <is>
          <t>Jugador 12</t>
        </is>
      </c>
      <c r="B13" s="14">
        <f>SUMIF(PRONÓSTICOS!$A:$A,A13,PRONÓSTICOS!$H:$H)</f>
        <v/>
      </c>
      <c r="C13" s="14">
        <f>COUNTIFS(PRONÓSTICOS!$A:$A,A13,PRONÓSTICOS!$H:$H,3)</f>
        <v/>
      </c>
      <c r="D13" s="14">
        <f>COUNTIFS(PRONÓSTICOS!$A:$A,A13,PRONÓSTICOS!$H:$H,1)</f>
        <v/>
      </c>
      <c r="E13" s="9">
        <f>_xludf.RANK.EQ(B13,B$2:B$21)</f>
        <v/>
      </c>
    </row>
    <row r="14" ht="20.1" customHeight="1">
      <c r="A14" s="7" t="inlineStr">
        <is>
          <t>Jugador 13</t>
        </is>
      </c>
      <c r="B14" s="13">
        <f>SUMIF(PRONÓSTICOS!$A:$A,A14,PRONÓSTICOS!$H:$H)</f>
        <v/>
      </c>
      <c r="C14" s="13">
        <f>COUNTIFS(PRONÓSTICOS!$A:$A,A14,PRONÓSTICOS!$H:$H,3)</f>
        <v/>
      </c>
      <c r="D14" s="13">
        <f>COUNTIFS(PRONÓSTICOS!$A:$A,A14,PRONÓSTICOS!$H:$H,1)</f>
        <v/>
      </c>
      <c r="E14" s="5">
        <f>_xludf.RANK.EQ(B14,B$2:B$21)</f>
        <v/>
      </c>
    </row>
    <row r="15" ht="20.1" customHeight="1">
      <c r="A15" s="11" t="inlineStr">
        <is>
          <t>Jugador 14</t>
        </is>
      </c>
      <c r="B15" s="14">
        <f>SUMIF(PRONÓSTICOS!$A:$A,A15,PRONÓSTICOS!$H:$H)</f>
        <v/>
      </c>
      <c r="C15" s="14">
        <f>COUNTIFS(PRONÓSTICOS!$A:$A,A15,PRONÓSTICOS!$H:$H,3)</f>
        <v/>
      </c>
      <c r="D15" s="14">
        <f>COUNTIFS(PRONÓSTICOS!$A:$A,A15,PRONÓSTICOS!$H:$H,1)</f>
        <v/>
      </c>
      <c r="E15" s="9">
        <f>_xludf.RANK.EQ(B15,B$2:B$21)</f>
        <v/>
      </c>
    </row>
    <row r="16" ht="20.1" customHeight="1">
      <c r="A16" s="7" t="inlineStr">
        <is>
          <t>Jugador 15</t>
        </is>
      </c>
      <c r="B16" s="13">
        <f>SUMIF(PRONÓSTICOS!$A:$A,A16,PRONÓSTICOS!$H:$H)</f>
        <v/>
      </c>
      <c r="C16" s="13">
        <f>COUNTIFS(PRONÓSTICOS!$A:$A,A16,PRONÓSTICOS!$H:$H,3)</f>
        <v/>
      </c>
      <c r="D16" s="13">
        <f>COUNTIFS(PRONÓSTICOS!$A:$A,A16,PRONÓSTICOS!$H:$H,1)</f>
        <v/>
      </c>
      <c r="E16" s="5">
        <f>_xludf.RANK.EQ(B16,B$2:B$21)</f>
        <v/>
      </c>
    </row>
    <row r="17" ht="20.1" customHeight="1">
      <c r="A17" s="11" t="inlineStr">
        <is>
          <t>Jugador 16</t>
        </is>
      </c>
      <c r="B17" s="14">
        <f>SUMIF(PRONÓSTICOS!$A:$A,A17,PRONÓSTICOS!$H:$H)</f>
        <v/>
      </c>
      <c r="C17" s="14">
        <f>COUNTIFS(PRONÓSTICOS!$A:$A,A17,PRONÓSTICOS!$H:$H,3)</f>
        <v/>
      </c>
      <c r="D17" s="14">
        <f>COUNTIFS(PRONÓSTICOS!$A:$A,A17,PRONÓSTICOS!$H:$H,1)</f>
        <v/>
      </c>
      <c r="E17" s="9">
        <f>_xludf.RANK.EQ(B17,B$2:B$21)</f>
        <v/>
      </c>
    </row>
    <row r="18" ht="20.1" customHeight="1">
      <c r="A18" s="7" t="inlineStr">
        <is>
          <t>Jugador 17</t>
        </is>
      </c>
      <c r="B18" s="13">
        <f>SUMIF(PRONÓSTICOS!$A:$A,A18,PRONÓSTICOS!$H:$H)</f>
        <v/>
      </c>
      <c r="C18" s="13">
        <f>COUNTIFS(PRONÓSTICOS!$A:$A,A18,PRONÓSTICOS!$H:$H,3)</f>
        <v/>
      </c>
      <c r="D18" s="13">
        <f>COUNTIFS(PRONÓSTICOS!$A:$A,A18,PRONÓSTICOS!$H:$H,1)</f>
        <v/>
      </c>
      <c r="E18" s="5">
        <f>_xludf.RANK.EQ(B18,B$2:B$21)</f>
        <v/>
      </c>
    </row>
    <row r="19" ht="20.1" customHeight="1">
      <c r="A19" s="11" t="inlineStr">
        <is>
          <t>Jugador 18</t>
        </is>
      </c>
      <c r="B19" s="14">
        <f>SUMIF(PRONÓSTICOS!$A:$A,A19,PRONÓSTICOS!$H:$H)</f>
        <v/>
      </c>
      <c r="C19" s="14">
        <f>COUNTIFS(PRONÓSTICOS!$A:$A,A19,PRONÓSTICOS!$H:$H,3)</f>
        <v/>
      </c>
      <c r="D19" s="14">
        <f>COUNTIFS(PRONÓSTICOS!$A:$A,A19,PRONÓSTICOS!$H:$H,1)</f>
        <v/>
      </c>
      <c r="E19" s="9">
        <f>_xludf.RANK.EQ(B19,B$2:B$21)</f>
        <v/>
      </c>
    </row>
    <row r="20" ht="20.1" customHeight="1">
      <c r="A20" s="7" t="inlineStr">
        <is>
          <t>Jugador 19</t>
        </is>
      </c>
      <c r="B20" s="13">
        <f>SUMIF(PRONÓSTICOS!$A:$A,A20,PRONÓSTICOS!$H:$H)</f>
        <v/>
      </c>
      <c r="C20" s="13">
        <f>COUNTIFS(PRONÓSTICOS!$A:$A,A20,PRONÓSTICOS!$H:$H,3)</f>
        <v/>
      </c>
      <c r="D20" s="13">
        <f>COUNTIFS(PRONÓSTICOS!$A:$A,A20,PRONÓSTICOS!$H:$H,1)</f>
        <v/>
      </c>
      <c r="E20" s="5">
        <f>_xludf.RANK.EQ(B20,B$2:B$21)</f>
        <v/>
      </c>
    </row>
    <row r="21" ht="20.1" customHeight="1">
      <c r="A21" s="11" t="inlineStr">
        <is>
          <t>Jugador 20</t>
        </is>
      </c>
      <c r="B21" s="14">
        <f>SUMIF(PRONÓSTICOS!$A:$A,A21,PRONÓSTICOS!$H:$H)</f>
        <v/>
      </c>
      <c r="C21" s="14">
        <f>COUNTIFS(PRONÓSTICOS!$A:$A,A21,PRONÓSTICOS!$H:$H,3)</f>
        <v/>
      </c>
      <c r="D21" s="14">
        <f>COUNTIFS(PRONÓSTICOS!$A:$A,A21,PRONÓSTICOS!$H:$H,1)</f>
        <v/>
      </c>
      <c r="E21" s="9">
        <f>_xludf.RANK.EQ(B21,B$2:B$21)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2026-06-11T12:27:05Z</dcterms:created>
  <dcterms:modified xsi:type="dcterms:W3CDTF">2026-06-12T16:45:51Z</dcterms:modified>
</cp:coreProperties>
</file>